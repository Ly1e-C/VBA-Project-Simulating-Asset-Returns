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jin\Google Drive\MFE\VBA\VBA Homework 5 - Li Jin Chen\"/>
    </mc:Choice>
  </mc:AlternateContent>
  <xr:revisionPtr revIDLastSave="0" documentId="13_ncr:1_{C6060170-959B-429D-A9A5-C8E238AF011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arketData" sheetId="3" r:id="rId1"/>
    <sheet name="Input" sheetId="4" r:id="rId2"/>
    <sheet name="Output" sheetId="2" r:id="rId3"/>
    <sheet name="Returns" sheetId="9" r:id="rId4"/>
    <sheet name="YieldCurve" sheetId="5" r:id="rId5"/>
    <sheet name="RiskFreeRate" sheetId="7" r:id="rId6"/>
    <sheet name="Report" sheetId="8" r:id="rId7"/>
  </sheets>
  <functionGroups builtInGroupCount="19"/>
  <definedNames>
    <definedName name="FilePath">Input!$N$13</definedName>
    <definedName name="MarketData">OFFSET(MarketData!$A$2,0,0,COUNTA(MarketData!$A:$A)-1,3)</definedName>
    <definedName name="Returns">OFFSET(Returns!$A$1,0,0,COUNTA(Returns!$A:$A),COUNTA(Returns!$1:$1))</definedName>
    <definedName name="TreasuryCurve">YieldCurve!$A$2:$B$13</definedName>
    <definedName name="VarData">OFFSET(Report!$B$1,0,0,COUNTA(Report!$B:$B),1),OFFSET(Report!$H$1,0,0,COUNTA(Report!$B:$B),2)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5" l="1"/>
  <c r="A4" i="5"/>
  <c r="A3" i="5"/>
  <c r="A2" i="5"/>
</calcChain>
</file>

<file path=xl/sharedStrings.xml><?xml version="1.0" encoding="utf-8"?>
<sst xmlns="http://schemas.openxmlformats.org/spreadsheetml/2006/main" count="1569" uniqueCount="64">
  <si>
    <t>Date</t>
  </si>
  <si>
    <t>Ticker</t>
  </si>
  <si>
    <t>Close_Price</t>
  </si>
  <si>
    <t>Instrument_Type</t>
  </si>
  <si>
    <t>Notional</t>
  </si>
  <si>
    <t>Quantity</t>
  </si>
  <si>
    <t>Position_ID</t>
  </si>
  <si>
    <t>Value</t>
  </si>
  <si>
    <t>COB</t>
  </si>
  <si>
    <t>Rate</t>
  </si>
  <si>
    <t>Year</t>
  </si>
  <si>
    <t>Coupon_Rate</t>
  </si>
  <si>
    <t>Frequency</t>
  </si>
  <si>
    <t>Dividend_Yield</t>
  </si>
  <si>
    <t>Sigma</t>
  </si>
  <si>
    <t>Strike</t>
  </si>
  <si>
    <t>Option_Type</t>
  </si>
  <si>
    <t>Instrument</t>
  </si>
  <si>
    <t>Average %Return</t>
  </si>
  <si>
    <t>Total %Return</t>
  </si>
  <si>
    <t>Total $Return</t>
  </si>
  <si>
    <t>95% VaR</t>
  </si>
  <si>
    <t>99% VaR</t>
  </si>
  <si>
    <t>Initial Weight</t>
  </si>
  <si>
    <t>End Weight</t>
  </si>
  <si>
    <t xml:space="preserve">Enter to Cell N13 the path to stock data access file: </t>
  </si>
  <si>
    <t>Cash</t>
  </si>
  <si>
    <t>AAL</t>
  </si>
  <si>
    <t>CHGG</t>
  </si>
  <si>
    <t>EXPE</t>
  </si>
  <si>
    <t>LUV</t>
  </si>
  <si>
    <t>MFA</t>
  </si>
  <si>
    <t>SSL</t>
  </si>
  <si>
    <t>STOR</t>
  </si>
  <si>
    <t>TPR</t>
  </si>
  <si>
    <t>WORK</t>
  </si>
  <si>
    <t>XOM</t>
  </si>
  <si>
    <t>Portfolio</t>
  </si>
  <si>
    <t>1. Cash</t>
  </si>
  <si>
    <t>Stock</t>
  </si>
  <si>
    <t>2. Stock</t>
  </si>
  <si>
    <t>3. Stock</t>
  </si>
  <si>
    <t>Fixed Rate Bond</t>
  </si>
  <si>
    <t>Floating Rate Note</t>
  </si>
  <si>
    <t>Comments on this workbook:</t>
  </si>
  <si>
    <t>- User inputs are done on this "Input" worksheet</t>
  </si>
  <si>
    <t xml:space="preserve">- "Execute portfolio" does a few things: </t>
  </si>
  <si>
    <t>- "Clear portfolio" clears the portfolio and the associated output, preparing workbook for new portfolio</t>
  </si>
  <si>
    <t>- "Add positions to portfolio" button allows user to add as many positions as wanted to this worksheet</t>
  </si>
  <si>
    <t>4. Fixed Rate Bond</t>
  </si>
  <si>
    <t>5. Floating Rate Note</t>
  </si>
  <si>
    <t xml:space="preserve">    &gt; Get stock data from access file and place data to "MarketData" sheet</t>
  </si>
  <si>
    <t xml:space="preserve">    &gt; Get daily prices for each position and place results to "Output" sheet</t>
  </si>
  <si>
    <t xml:space="preserve">    &gt; Calculate performance of each position and overall portfolio and place results in "Report" sheet</t>
  </si>
  <si>
    <t xml:space="preserve">    &gt; Create a table of normalized returns in "Returns" sheet. This is used for charting. </t>
  </si>
  <si>
    <t xml:space="preserve">    &gt; Add charts on "Report" sheet showing normalized returns and VaR</t>
  </si>
  <si>
    <t xml:space="preserve">    &gt; Add appropriate borders to tables to give a more consistent look</t>
  </si>
  <si>
    <t>Recommendation:</t>
  </si>
  <si>
    <t>- Since fixed rate bond and floating rate note use the same (random) rate for discounting, they have highly correlated returns.</t>
  </si>
  <si>
    <t xml:space="preserve">- Economically speaking, fixed rate bond would have served as better buffer against Fed's interest rate decrease. </t>
  </si>
  <si>
    <t>- Though not shown here, options would have extreme returns/VaR due to their implicit leverage. They should be used with care.</t>
  </si>
  <si>
    <t>Maturity_Date</t>
  </si>
  <si>
    <t xml:space="preserve">- The portfolio should have included more stocks that would perform well during lockdown (such as tech companies). </t>
  </si>
  <si>
    <t>C:\Users\lijin\Downloads\Stock_Data.accdb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</si>
</sst>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14" fontId="0" fillId="0" borderId="0" xfId="0" applyNumberFormat="1" applyAlignment="1">
      <alignment horizontal="left"/>
    </xf>
    <xf numFmtId="164" fontId="0" fillId="0" borderId="0" xfId="1" applyNumberFormat="1" applyFont="1"/>
    <xf numFmtId="0" fontId="2" fillId="2" borderId="1" xfId="0" applyFont="1" applyFill="1" applyBorder="1" applyAlignment="1">
      <alignment horizontal="left" vertical="center"/>
    </xf>
    <xf numFmtId="2" fontId="0" fillId="0" borderId="1" xfId="0" applyNumberFormat="1" applyBorder="1"/>
    <xf numFmtId="10" fontId="0" fillId="0" borderId="1" xfId="1" applyNumberFormat="1" applyFont="1" applyBorder="1"/>
    <xf numFmtId="0" fontId="0" fillId="0" borderId="1" xfId="0" applyBorder="1"/>
    <xf numFmtId="0" fontId="2" fillId="2" borderId="1" xfId="0" applyFont="1" applyFill="1" applyBorder="1"/>
    <xf numFmtId="14" fontId="0" fillId="0" borderId="1" xfId="0" applyNumberFormat="1" applyFont="1" applyBorder="1" applyAlignment="1">
      <alignment horizontal="left"/>
    </xf>
    <xf numFmtId="164" fontId="1" fillId="0" borderId="1" xfId="1" applyNumberFormat="1" applyFont="1" applyBorder="1"/>
    <xf numFmtId="2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right"/>
    </xf>
    <xf numFmtId="1" fontId="0" fillId="0" borderId="0" xfId="0" applyNumberFormat="1"/>
    <xf numFmtId="9" fontId="0" fillId="0" borderId="0" xfId="1" applyFont="1"/>
    <xf numFmtId="0" fontId="0" fillId="0" borderId="0" xfId="0" applyAlignment="1">
      <alignment wrapText="1"/>
    </xf>
    <xf numFmtId="0" fontId="2" fillId="2" borderId="1" xfId="0" applyFont="1" applyFill="1" applyBorder="1" applyAlignment="1"/>
    <xf numFmtId="9" fontId="0" fillId="0" borderId="0" xfId="1" applyNumberFormat="1" applyFont="1"/>
    <xf numFmtId="14" fontId="0" fillId="0" borderId="0" xfId="0" applyNumberFormat="1" applyBorder="1" applyAlignment="1">
      <alignment horizontal="left"/>
    </xf>
    <xf numFmtId="0" fontId="0" fillId="0" borderId="0" xfId="0" applyBorder="1"/>
    <xf numFmtId="164" fontId="0" fillId="0" borderId="0" xfId="1" applyNumberFormat="1" applyFont="1" applyBorder="1"/>
    <xf numFmtId="9" fontId="0" fillId="0" borderId="0" xfId="1" applyFont="1" applyBorder="1"/>
    <xf numFmtId="1" fontId="0" fillId="0" borderId="0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2" fillId="4" borderId="1" xfId="0" applyFont="1" applyFill="1" applyBorder="1"/>
    <xf numFmtId="14" fontId="0" fillId="0" borderId="1" xfId="0" applyNumberFormat="1" applyBorder="1" applyAlignment="1">
      <alignment horizontal="left"/>
    </xf>
    <xf numFmtId="164" fontId="0" fillId="0" borderId="1" xfId="1" applyNumberFormat="1" applyFont="1" applyBorder="1"/>
    <xf numFmtId="9" fontId="0" fillId="0" borderId="1" xfId="1" applyFont="1" applyBorder="1"/>
    <xf numFmtId="1" fontId="0" fillId="0" borderId="1" xfId="0" applyNumberFormat="1" applyBorder="1"/>
    <xf numFmtId="0" fontId="2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quotePrefix="1" applyBorder="1"/>
    <xf numFmtId="0" fontId="0" fillId="0" borderId="9" xfId="0" applyBorder="1"/>
    <xf numFmtId="0" fontId="0" fillId="0" borderId="10" xfId="0" quotePrefix="1" applyBorder="1"/>
    <xf numFmtId="0" fontId="0" fillId="0" borderId="11" xfId="0" applyBorder="1"/>
    <xf numFmtId="0" fontId="0" fillId="0" borderId="12" xfId="0" applyBorder="1"/>
    <xf numFmtId="0" fontId="2" fillId="0" borderId="0" xfId="0" applyFont="1" applyBorder="1"/>
    <xf numFmtId="0" fontId="0" fillId="0" borderId="5" xfId="0" quotePrefix="1" applyBorder="1"/>
    <xf numFmtId="14" fontId="0" fillId="0" borderId="0" xfId="0" applyNumberFormat="1" applyBorder="1"/>
    <xf numFmtId="9" fontId="0" fillId="0" borderId="0" xfId="1" applyNumberFormat="1" applyFont="1" applyBorder="1"/>
    <xf numFmtId="0" fontId="0" fillId="0" borderId="0" xfId="0" applyNumberFormat="1" applyBorder="1"/>
    <xf numFmtId="14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Normalized Returns by Position (2/19/20 - 7/10/20)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Returns!$B$1</c:f>
              <c:strCache>
                <c:ptCount val="1"/>
                <c:pt idx="0">
                  <c:v>1. Cash</c:v>
                </c:pt>
              </c:strCache>
            </c:strRef>
          </c:tx>
          <c:marker>
            <c:symbol val="none"/>
          </c:marker>
          <c:cat>
            <c:numRef>
              <c:f>Returns!$A$2:$A$101</c:f>
              <c:numCache>
                <c:formatCode>m/d/yyyy</c:formatCode>
                <c:ptCount val="100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43899</c:v>
                </c:pt>
                <c:pt idx="14">
                  <c:v>43900</c:v>
                </c:pt>
                <c:pt idx="15">
                  <c:v>43901</c:v>
                </c:pt>
                <c:pt idx="16">
                  <c:v>43902</c:v>
                </c:pt>
                <c:pt idx="17">
                  <c:v>43903</c:v>
                </c:pt>
                <c:pt idx="18">
                  <c:v>43906</c:v>
                </c:pt>
                <c:pt idx="19">
                  <c:v>43907</c:v>
                </c:pt>
                <c:pt idx="20">
                  <c:v>43908</c:v>
                </c:pt>
                <c:pt idx="21">
                  <c:v>43909</c:v>
                </c:pt>
                <c:pt idx="22">
                  <c:v>43910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43920</c:v>
                </c:pt>
                <c:pt idx="29">
                  <c:v>43921</c:v>
                </c:pt>
                <c:pt idx="30">
                  <c:v>43922</c:v>
                </c:pt>
                <c:pt idx="31">
                  <c:v>43923</c:v>
                </c:pt>
                <c:pt idx="32">
                  <c:v>43924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43934</c:v>
                </c:pt>
                <c:pt idx="38">
                  <c:v>43935</c:v>
                </c:pt>
                <c:pt idx="39">
                  <c:v>43936</c:v>
                </c:pt>
                <c:pt idx="40">
                  <c:v>43937</c:v>
                </c:pt>
                <c:pt idx="41">
                  <c:v>43938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43948</c:v>
                </c:pt>
                <c:pt idx="48">
                  <c:v>43949</c:v>
                </c:pt>
                <c:pt idx="49">
                  <c:v>43950</c:v>
                </c:pt>
                <c:pt idx="50">
                  <c:v>43951</c:v>
                </c:pt>
                <c:pt idx="51">
                  <c:v>43952</c:v>
                </c:pt>
                <c:pt idx="52">
                  <c:v>43955</c:v>
                </c:pt>
                <c:pt idx="53">
                  <c:v>43956</c:v>
                </c:pt>
                <c:pt idx="54">
                  <c:v>43957</c:v>
                </c:pt>
                <c:pt idx="55">
                  <c:v>43958</c:v>
                </c:pt>
                <c:pt idx="56">
                  <c:v>43959</c:v>
                </c:pt>
                <c:pt idx="57">
                  <c:v>43962</c:v>
                </c:pt>
                <c:pt idx="58">
                  <c:v>43963</c:v>
                </c:pt>
                <c:pt idx="59">
                  <c:v>43964</c:v>
                </c:pt>
                <c:pt idx="60">
                  <c:v>43965</c:v>
                </c:pt>
                <c:pt idx="61">
                  <c:v>43966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43977</c:v>
                </c:pt>
                <c:pt idx="68">
                  <c:v>43978</c:v>
                </c:pt>
                <c:pt idx="69">
                  <c:v>43979</c:v>
                </c:pt>
                <c:pt idx="70">
                  <c:v>43980</c:v>
                </c:pt>
                <c:pt idx="71">
                  <c:v>43983</c:v>
                </c:pt>
                <c:pt idx="72">
                  <c:v>43984</c:v>
                </c:pt>
                <c:pt idx="73">
                  <c:v>43985</c:v>
                </c:pt>
                <c:pt idx="74">
                  <c:v>43986</c:v>
                </c:pt>
                <c:pt idx="75">
                  <c:v>43987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43997</c:v>
                </c:pt>
                <c:pt idx="82">
                  <c:v>43998</c:v>
                </c:pt>
                <c:pt idx="83">
                  <c:v>43999</c:v>
                </c:pt>
                <c:pt idx="84">
                  <c:v>44000</c:v>
                </c:pt>
                <c:pt idx="85">
                  <c:v>44001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44011</c:v>
                </c:pt>
                <c:pt idx="92">
                  <c:v>44012</c:v>
                </c:pt>
                <c:pt idx="93">
                  <c:v>44013</c:v>
                </c:pt>
                <c:pt idx="94">
                  <c:v>44014</c:v>
                </c:pt>
                <c:pt idx="95">
                  <c:v>44018</c:v>
                </c:pt>
                <c:pt idx="96">
                  <c:v>44019</c:v>
                </c:pt>
                <c:pt idx="97">
                  <c:v>44020</c:v>
                </c:pt>
                <c:pt idx="98">
                  <c:v>44021</c:v>
                </c:pt>
                <c:pt idx="99">
                  <c:v>44022</c:v>
                </c:pt>
              </c:numCache>
            </c:numRef>
          </c:cat>
          <c:val>
            <c:numRef>
              <c:f>Returns!$B$2:$B$101</c:f>
              <c:numCache>
                <c:formatCode>0%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42-472F-91A5-4EEE0D31E315}"/>
            </c:ext>
          </c:extLst>
        </c:ser>
        <c:ser>
          <c:idx val="1"/>
          <c:order val="1"/>
          <c:tx>
            <c:strRef>
              <c:f>Returns!$C$1</c:f>
              <c:strCache>
                <c:ptCount val="1"/>
                <c:pt idx="0">
                  <c:v>2. Stock</c:v>
                </c:pt>
              </c:strCache>
            </c:strRef>
          </c:tx>
          <c:marker>
            <c:symbol val="none"/>
          </c:marker>
          <c:cat>
            <c:numRef>
              <c:f>Returns!$A$2:$A$101</c:f>
              <c:numCache>
                <c:formatCode>m/d/yyyy</c:formatCode>
                <c:ptCount val="100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43899</c:v>
                </c:pt>
                <c:pt idx="14">
                  <c:v>43900</c:v>
                </c:pt>
                <c:pt idx="15">
                  <c:v>43901</c:v>
                </c:pt>
                <c:pt idx="16">
                  <c:v>43902</c:v>
                </c:pt>
                <c:pt idx="17">
                  <c:v>43903</c:v>
                </c:pt>
                <c:pt idx="18">
                  <c:v>43906</c:v>
                </c:pt>
                <c:pt idx="19">
                  <c:v>43907</c:v>
                </c:pt>
                <c:pt idx="20">
                  <c:v>43908</c:v>
                </c:pt>
                <c:pt idx="21">
                  <c:v>43909</c:v>
                </c:pt>
                <c:pt idx="22">
                  <c:v>43910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43920</c:v>
                </c:pt>
                <c:pt idx="29">
                  <c:v>43921</c:v>
                </c:pt>
                <c:pt idx="30">
                  <c:v>43922</c:v>
                </c:pt>
                <c:pt idx="31">
                  <c:v>43923</c:v>
                </c:pt>
                <c:pt idx="32">
                  <c:v>43924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43934</c:v>
                </c:pt>
                <c:pt idx="38">
                  <c:v>43935</c:v>
                </c:pt>
                <c:pt idx="39">
                  <c:v>43936</c:v>
                </c:pt>
                <c:pt idx="40">
                  <c:v>43937</c:v>
                </c:pt>
                <c:pt idx="41">
                  <c:v>43938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43948</c:v>
                </c:pt>
                <c:pt idx="48">
                  <c:v>43949</c:v>
                </c:pt>
                <c:pt idx="49">
                  <c:v>43950</c:v>
                </c:pt>
                <c:pt idx="50">
                  <c:v>43951</c:v>
                </c:pt>
                <c:pt idx="51">
                  <c:v>43952</c:v>
                </c:pt>
                <c:pt idx="52">
                  <c:v>43955</c:v>
                </c:pt>
                <c:pt idx="53">
                  <c:v>43956</c:v>
                </c:pt>
                <c:pt idx="54">
                  <c:v>43957</c:v>
                </c:pt>
                <c:pt idx="55">
                  <c:v>43958</c:v>
                </c:pt>
                <c:pt idx="56">
                  <c:v>43959</c:v>
                </c:pt>
                <c:pt idx="57">
                  <c:v>43962</c:v>
                </c:pt>
                <c:pt idx="58">
                  <c:v>43963</c:v>
                </c:pt>
                <c:pt idx="59">
                  <c:v>43964</c:v>
                </c:pt>
                <c:pt idx="60">
                  <c:v>43965</c:v>
                </c:pt>
                <c:pt idx="61">
                  <c:v>43966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43977</c:v>
                </c:pt>
                <c:pt idx="68">
                  <c:v>43978</c:v>
                </c:pt>
                <c:pt idx="69">
                  <c:v>43979</c:v>
                </c:pt>
                <c:pt idx="70">
                  <c:v>43980</c:v>
                </c:pt>
                <c:pt idx="71">
                  <c:v>43983</c:v>
                </c:pt>
                <c:pt idx="72">
                  <c:v>43984</c:v>
                </c:pt>
                <c:pt idx="73">
                  <c:v>43985</c:v>
                </c:pt>
                <c:pt idx="74">
                  <c:v>43986</c:v>
                </c:pt>
                <c:pt idx="75">
                  <c:v>43987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43997</c:v>
                </c:pt>
                <c:pt idx="82">
                  <c:v>43998</c:v>
                </c:pt>
                <c:pt idx="83">
                  <c:v>43999</c:v>
                </c:pt>
                <c:pt idx="84">
                  <c:v>44000</c:v>
                </c:pt>
                <c:pt idx="85">
                  <c:v>44001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44011</c:v>
                </c:pt>
                <c:pt idx="92">
                  <c:v>44012</c:v>
                </c:pt>
                <c:pt idx="93">
                  <c:v>44013</c:v>
                </c:pt>
                <c:pt idx="94">
                  <c:v>44014</c:v>
                </c:pt>
                <c:pt idx="95">
                  <c:v>44018</c:v>
                </c:pt>
                <c:pt idx="96">
                  <c:v>44019</c:v>
                </c:pt>
                <c:pt idx="97">
                  <c:v>44020</c:v>
                </c:pt>
                <c:pt idx="98">
                  <c:v>44021</c:v>
                </c:pt>
                <c:pt idx="99">
                  <c:v>44022</c:v>
                </c:pt>
              </c:numCache>
            </c:numRef>
          </c:cat>
          <c:val>
            <c:numRef>
              <c:f>Returns!$C$2:$C$101</c:f>
              <c:numCache>
                <c:formatCode>0%</c:formatCode>
                <c:ptCount val="100"/>
                <c:pt idx="0">
                  <c:v>1</c:v>
                </c:pt>
                <c:pt idx="1">
                  <c:v>0.99023673443405569</c:v>
                </c:pt>
                <c:pt idx="2">
                  <c:v>0.97705633446286688</c:v>
                </c:pt>
                <c:pt idx="3">
                  <c:v>0.94556995495313745</c:v>
                </c:pt>
                <c:pt idx="4">
                  <c:v>0.91628020707151048</c:v>
                </c:pt>
                <c:pt idx="5">
                  <c:v>0.90944586503671299</c:v>
                </c:pt>
                <c:pt idx="6">
                  <c:v>0.9521600451022687</c:v>
                </c:pt>
                <c:pt idx="7">
                  <c:v>0.95704169008929241</c:v>
                </c:pt>
                <c:pt idx="8">
                  <c:v>0.99463019295508426</c:v>
                </c:pt>
                <c:pt idx="9">
                  <c:v>0.95826207082591963</c:v>
                </c:pt>
                <c:pt idx="10">
                  <c:v>0.97119843858436794</c:v>
                </c:pt>
                <c:pt idx="11">
                  <c:v>0.95093966436564159</c:v>
                </c:pt>
                <c:pt idx="12">
                  <c:v>0.95582130935266507</c:v>
                </c:pt>
                <c:pt idx="13">
                  <c:v>0.91017818134785966</c:v>
                </c:pt>
                <c:pt idx="14">
                  <c:v>0.95118379421079335</c:v>
                </c:pt>
                <c:pt idx="15">
                  <c:v>0.89675374916393091</c:v>
                </c:pt>
                <c:pt idx="16">
                  <c:v>0.8982181621132983</c:v>
                </c:pt>
                <c:pt idx="17">
                  <c:v>0.88113246567897319</c:v>
                </c:pt>
                <c:pt idx="18">
                  <c:v>0.76885524118000381</c:v>
                </c:pt>
                <c:pt idx="19">
                  <c:v>0.78862582893273536</c:v>
                </c:pt>
                <c:pt idx="20">
                  <c:v>0.67634850680135439</c:v>
                </c:pt>
                <c:pt idx="21">
                  <c:v>0.73224308683809891</c:v>
                </c:pt>
                <c:pt idx="22">
                  <c:v>0.72345614538793879</c:v>
                </c:pt>
                <c:pt idx="23">
                  <c:v>0.83329260841365371</c:v>
                </c:pt>
                <c:pt idx="24">
                  <c:v>0.83353676266690835</c:v>
                </c:pt>
                <c:pt idx="25">
                  <c:v>0.83060771709524717</c:v>
                </c:pt>
                <c:pt idx="26">
                  <c:v>0.89480105211615679</c:v>
                </c:pt>
                <c:pt idx="27">
                  <c:v>0.88503776214210972</c:v>
                </c:pt>
                <c:pt idx="28">
                  <c:v>0.89089575565302026</c:v>
                </c:pt>
                <c:pt idx="29">
                  <c:v>0.87332189716080288</c:v>
                </c:pt>
                <c:pt idx="30">
                  <c:v>0.83304857620091333</c:v>
                </c:pt>
                <c:pt idx="31">
                  <c:v>0.82889914989262514</c:v>
                </c:pt>
                <c:pt idx="32">
                  <c:v>0.83597752414016291</c:v>
                </c:pt>
                <c:pt idx="33">
                  <c:v>0.85257503410849311</c:v>
                </c:pt>
                <c:pt idx="34">
                  <c:v>0.85745667909551659</c:v>
                </c:pt>
                <c:pt idx="35">
                  <c:v>0.89919451063718536</c:v>
                </c:pt>
                <c:pt idx="36">
                  <c:v>0.9189651227980199</c:v>
                </c:pt>
                <c:pt idx="37">
                  <c:v>0.92994867146817972</c:v>
                </c:pt>
                <c:pt idx="38">
                  <c:v>0.96802536079996671</c:v>
                </c:pt>
                <c:pt idx="39">
                  <c:v>0.97022209006048099</c:v>
                </c:pt>
                <c:pt idx="40">
                  <c:v>0.87551862642131739</c:v>
                </c:pt>
                <c:pt idx="41">
                  <c:v>0.89699778137667108</c:v>
                </c:pt>
                <c:pt idx="42">
                  <c:v>0.88894305860524625</c:v>
                </c:pt>
                <c:pt idx="43">
                  <c:v>0.87039294922155352</c:v>
                </c:pt>
                <c:pt idx="44">
                  <c:v>0.8982181621132983</c:v>
                </c:pt>
                <c:pt idx="45">
                  <c:v>0.92311445147389659</c:v>
                </c:pt>
                <c:pt idx="46">
                  <c:v>0.9633878456580951</c:v>
                </c:pt>
                <c:pt idx="47">
                  <c:v>1.0214790573229422</c:v>
                </c:pt>
                <c:pt idx="48">
                  <c:v>1.0043934829291314</c:v>
                </c:pt>
                <c:pt idx="49">
                  <c:v>1.0256284836312304</c:v>
                </c:pt>
                <c:pt idx="50">
                  <c:v>1.0434463987442908</c:v>
                </c:pt>
                <c:pt idx="51">
                  <c:v>1.0339272630234984</c:v>
                </c:pt>
                <c:pt idx="52">
                  <c:v>1.068830850162781</c:v>
                </c:pt>
                <c:pt idx="53">
                  <c:v>1.4137172708392172</c:v>
                </c:pt>
                <c:pt idx="54">
                  <c:v>1.4742494636502448</c:v>
                </c:pt>
                <c:pt idx="55">
                  <c:v>1.449597206502387</c:v>
                </c:pt>
                <c:pt idx="56">
                  <c:v>1.5408835601444089</c:v>
                </c:pt>
                <c:pt idx="57">
                  <c:v>1.4930436052466778</c:v>
                </c:pt>
                <c:pt idx="58">
                  <c:v>1.5111056502048901</c:v>
                </c:pt>
                <c:pt idx="59">
                  <c:v>1.5818890997830335</c:v>
                </c:pt>
                <c:pt idx="60">
                  <c:v>1.593849192241904</c:v>
                </c:pt>
                <c:pt idx="61">
                  <c:v>1.6270442365866673</c:v>
                </c:pt>
                <c:pt idx="62">
                  <c:v>1.5181840244524281</c:v>
                </c:pt>
                <c:pt idx="63">
                  <c:v>1.4896264952495362</c:v>
                </c:pt>
                <c:pt idx="64">
                  <c:v>1.5379545145727478</c:v>
                </c:pt>
                <c:pt idx="65">
                  <c:v>1.5325848051602438</c:v>
                </c:pt>
                <c:pt idx="66">
                  <c:v>1.5843300565211116</c:v>
                </c:pt>
                <c:pt idx="67">
                  <c:v>1.5157431409386588</c:v>
                </c:pt>
                <c:pt idx="68">
                  <c:v>1.4825482186344099</c:v>
                </c:pt>
                <c:pt idx="69">
                  <c:v>1.4759580064447642</c:v>
                </c:pt>
                <c:pt idx="70">
                  <c:v>1.490846973618575</c:v>
                </c:pt>
                <c:pt idx="71">
                  <c:v>1.5237978637100837</c:v>
                </c:pt>
                <c:pt idx="72">
                  <c:v>1.526970941494485</c:v>
                </c:pt>
                <c:pt idx="73">
                  <c:v>1.4986575665448481</c:v>
                </c:pt>
                <c:pt idx="74">
                  <c:v>1.4239687228711562</c:v>
                </c:pt>
                <c:pt idx="75">
                  <c:v>1.4288503678581796</c:v>
                </c:pt>
                <c:pt idx="76">
                  <c:v>1.4093239099506001</c:v>
                </c:pt>
                <c:pt idx="77">
                  <c:v>1.3888211035191333</c:v>
                </c:pt>
                <c:pt idx="78">
                  <c:v>1.4361727743184578</c:v>
                </c:pt>
                <c:pt idx="79">
                  <c:v>1.3868684064713592</c:v>
                </c:pt>
                <c:pt idx="80">
                  <c:v>1.3888211035191333</c:v>
                </c:pt>
                <c:pt idx="81">
                  <c:v>1.4491090444444947</c:v>
                </c:pt>
                <c:pt idx="82">
                  <c:v>1.4740053093969903</c:v>
                </c:pt>
                <c:pt idx="83">
                  <c:v>1.5589455074702097</c:v>
                </c:pt>
                <c:pt idx="84">
                  <c:v>1.5403953980865168</c:v>
                </c:pt>
                <c:pt idx="85">
                  <c:v>1.6551134084668435</c:v>
                </c:pt>
                <c:pt idx="86">
                  <c:v>1.7044178739463538</c:v>
                </c:pt>
                <c:pt idx="87">
                  <c:v>1.6285086495360346</c:v>
                </c:pt>
                <c:pt idx="88">
                  <c:v>1.5657798495050073</c:v>
                </c:pt>
                <c:pt idx="89">
                  <c:v>1.5853062097801753</c:v>
                </c:pt>
                <c:pt idx="90">
                  <c:v>1.5967780425487419</c:v>
                </c:pt>
                <c:pt idx="91">
                  <c:v>1.6287527793811865</c:v>
                </c:pt>
                <c:pt idx="92">
                  <c:v>1.6416890495072232</c:v>
                </c:pt>
                <c:pt idx="93">
                  <c:v>1.6617036938807979</c:v>
                </c:pt>
                <c:pt idx="94">
                  <c:v>1.7134487499768427</c:v>
                </c:pt>
                <c:pt idx="95">
                  <c:v>1.7395654200740682</c:v>
                </c:pt>
                <c:pt idx="96">
                  <c:v>1.7388332013953332</c:v>
                </c:pt>
                <c:pt idx="97">
                  <c:v>1.7766658341062769</c:v>
                </c:pt>
                <c:pt idx="98">
                  <c:v>1.7771539229398599</c:v>
                </c:pt>
                <c:pt idx="99">
                  <c:v>1.8310958059288307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42-472F-91A5-4EEE0D31E315}"/>
            </c:ext>
          </c:extLst>
        </c:ser>
        <c:ser>
          <c:idx val="2"/>
          <c:order val="2"/>
          <c:tx>
            <c:strRef>
              <c:f>Returns!$D$1</c:f>
              <c:strCache>
                <c:ptCount val="1"/>
                <c:pt idx="0">
                  <c:v>3. Stock</c:v>
                </c:pt>
              </c:strCache>
            </c:strRef>
          </c:tx>
          <c:marker>
            <c:symbol val="none"/>
          </c:marker>
          <c:cat>
            <c:numRef>
              <c:f>Returns!$A$2:$A$101</c:f>
              <c:numCache>
                <c:formatCode>m/d/yyyy</c:formatCode>
                <c:ptCount val="100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43899</c:v>
                </c:pt>
                <c:pt idx="14">
                  <c:v>43900</c:v>
                </c:pt>
                <c:pt idx="15">
                  <c:v>43901</c:v>
                </c:pt>
                <c:pt idx="16">
                  <c:v>43902</c:v>
                </c:pt>
                <c:pt idx="17">
                  <c:v>43903</c:v>
                </c:pt>
                <c:pt idx="18">
                  <c:v>43906</c:v>
                </c:pt>
                <c:pt idx="19">
                  <c:v>43907</c:v>
                </c:pt>
                <c:pt idx="20">
                  <c:v>43908</c:v>
                </c:pt>
                <c:pt idx="21">
                  <c:v>43909</c:v>
                </c:pt>
                <c:pt idx="22">
                  <c:v>43910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43920</c:v>
                </c:pt>
                <c:pt idx="29">
                  <c:v>43921</c:v>
                </c:pt>
                <c:pt idx="30">
                  <c:v>43922</c:v>
                </c:pt>
                <c:pt idx="31">
                  <c:v>43923</c:v>
                </c:pt>
                <c:pt idx="32">
                  <c:v>43924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43934</c:v>
                </c:pt>
                <c:pt idx="38">
                  <c:v>43935</c:v>
                </c:pt>
                <c:pt idx="39">
                  <c:v>43936</c:v>
                </c:pt>
                <c:pt idx="40">
                  <c:v>43937</c:v>
                </c:pt>
                <c:pt idx="41">
                  <c:v>43938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43948</c:v>
                </c:pt>
                <c:pt idx="48">
                  <c:v>43949</c:v>
                </c:pt>
                <c:pt idx="49">
                  <c:v>43950</c:v>
                </c:pt>
                <c:pt idx="50">
                  <c:v>43951</c:v>
                </c:pt>
                <c:pt idx="51">
                  <c:v>43952</c:v>
                </c:pt>
                <c:pt idx="52">
                  <c:v>43955</c:v>
                </c:pt>
                <c:pt idx="53">
                  <c:v>43956</c:v>
                </c:pt>
                <c:pt idx="54">
                  <c:v>43957</c:v>
                </c:pt>
                <c:pt idx="55">
                  <c:v>43958</c:v>
                </c:pt>
                <c:pt idx="56">
                  <c:v>43959</c:v>
                </c:pt>
                <c:pt idx="57">
                  <c:v>43962</c:v>
                </c:pt>
                <c:pt idx="58">
                  <c:v>43963</c:v>
                </c:pt>
                <c:pt idx="59">
                  <c:v>43964</c:v>
                </c:pt>
                <c:pt idx="60">
                  <c:v>43965</c:v>
                </c:pt>
                <c:pt idx="61">
                  <c:v>43966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43977</c:v>
                </c:pt>
                <c:pt idx="68">
                  <c:v>43978</c:v>
                </c:pt>
                <c:pt idx="69">
                  <c:v>43979</c:v>
                </c:pt>
                <c:pt idx="70">
                  <c:v>43980</c:v>
                </c:pt>
                <c:pt idx="71">
                  <c:v>43983</c:v>
                </c:pt>
                <c:pt idx="72">
                  <c:v>43984</c:v>
                </c:pt>
                <c:pt idx="73">
                  <c:v>43985</c:v>
                </c:pt>
                <c:pt idx="74">
                  <c:v>43986</c:v>
                </c:pt>
                <c:pt idx="75">
                  <c:v>43987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43997</c:v>
                </c:pt>
                <c:pt idx="82">
                  <c:v>43998</c:v>
                </c:pt>
                <c:pt idx="83">
                  <c:v>43999</c:v>
                </c:pt>
                <c:pt idx="84">
                  <c:v>44000</c:v>
                </c:pt>
                <c:pt idx="85">
                  <c:v>44001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44011</c:v>
                </c:pt>
                <c:pt idx="92">
                  <c:v>44012</c:v>
                </c:pt>
                <c:pt idx="93">
                  <c:v>44013</c:v>
                </c:pt>
                <c:pt idx="94">
                  <c:v>44014</c:v>
                </c:pt>
                <c:pt idx="95">
                  <c:v>44018</c:v>
                </c:pt>
                <c:pt idx="96">
                  <c:v>44019</c:v>
                </c:pt>
                <c:pt idx="97">
                  <c:v>44020</c:v>
                </c:pt>
                <c:pt idx="98">
                  <c:v>44021</c:v>
                </c:pt>
                <c:pt idx="99">
                  <c:v>44022</c:v>
                </c:pt>
              </c:numCache>
            </c:numRef>
          </c:cat>
          <c:val>
            <c:numRef>
              <c:f>Returns!$D$2:$D$101</c:f>
              <c:numCache>
                <c:formatCode>0%</c:formatCode>
                <c:ptCount val="100"/>
                <c:pt idx="0">
                  <c:v>1</c:v>
                </c:pt>
                <c:pt idx="1">
                  <c:v>0.99204513073567224</c:v>
                </c:pt>
                <c:pt idx="2">
                  <c:v>0.97994696911501955</c:v>
                </c:pt>
                <c:pt idx="3">
                  <c:v>0.93404045685064541</c:v>
                </c:pt>
                <c:pt idx="4">
                  <c:v>0.89824330019687193</c:v>
                </c:pt>
                <c:pt idx="5">
                  <c:v>0.87852171445478067</c:v>
                </c:pt>
                <c:pt idx="6">
                  <c:v>0.82565461767247794</c:v>
                </c:pt>
                <c:pt idx="7">
                  <c:v>0.85250248516280813</c:v>
                </c:pt>
                <c:pt idx="8">
                  <c:v>0.89294005965201662</c:v>
                </c:pt>
                <c:pt idx="9">
                  <c:v>0.85018230158622488</c:v>
                </c:pt>
                <c:pt idx="10">
                  <c:v>0.86874373641071112</c:v>
                </c:pt>
                <c:pt idx="11">
                  <c:v>0.83046071584413372</c:v>
                </c:pt>
                <c:pt idx="12">
                  <c:v>0.79035465407417271</c:v>
                </c:pt>
                <c:pt idx="13">
                  <c:v>0.69373553137376875</c:v>
                </c:pt>
                <c:pt idx="14">
                  <c:v>0.71942324794649382</c:v>
                </c:pt>
                <c:pt idx="15">
                  <c:v>0.69572420223110443</c:v>
                </c:pt>
                <c:pt idx="16">
                  <c:v>0.61617501965922961</c:v>
                </c:pt>
                <c:pt idx="17">
                  <c:v>0.63175339751544368</c:v>
                </c:pt>
                <c:pt idx="18">
                  <c:v>0.57159435554277094</c:v>
                </c:pt>
                <c:pt idx="19">
                  <c:v>0.61004314091601675</c:v>
                </c:pt>
                <c:pt idx="20">
                  <c:v>0.54888964525604933</c:v>
                </c:pt>
                <c:pt idx="21">
                  <c:v>0.57059996943183433</c:v>
                </c:pt>
                <c:pt idx="22">
                  <c:v>0.54259200170616795</c:v>
                </c:pt>
                <c:pt idx="23">
                  <c:v>0.52121315646145117</c:v>
                </c:pt>
                <c:pt idx="24">
                  <c:v>0.58733841373520568</c:v>
                </c:pt>
                <c:pt idx="25">
                  <c:v>0.6179980101803445</c:v>
                </c:pt>
                <c:pt idx="26">
                  <c:v>0.64335434918653867</c:v>
                </c:pt>
                <c:pt idx="27">
                  <c:v>0.61236330759851032</c:v>
                </c:pt>
                <c:pt idx="28">
                  <c:v>0.62147827709817449</c:v>
                </c:pt>
                <c:pt idx="29">
                  <c:v>0.62926751670855019</c:v>
                </c:pt>
                <c:pt idx="30">
                  <c:v>0.62197547015364285</c:v>
                </c:pt>
                <c:pt idx="31">
                  <c:v>0.66953934328517983</c:v>
                </c:pt>
                <c:pt idx="32">
                  <c:v>0.64981768996673017</c:v>
                </c:pt>
                <c:pt idx="33">
                  <c:v>0.67069942662642656</c:v>
                </c:pt>
                <c:pt idx="34">
                  <c:v>0.68346041095649956</c:v>
                </c:pt>
                <c:pt idx="35">
                  <c:v>0.72671522692504309</c:v>
                </c:pt>
                <c:pt idx="36">
                  <c:v>0.7147828976874171</c:v>
                </c:pt>
                <c:pt idx="37">
                  <c:v>0.70865093447375649</c:v>
                </c:pt>
                <c:pt idx="38">
                  <c:v>0.70318199669859083</c:v>
                </c:pt>
                <c:pt idx="39">
                  <c:v>0.6708651238567368</c:v>
                </c:pt>
                <c:pt idx="40">
                  <c:v>0.6488233545380625</c:v>
                </c:pt>
                <c:pt idx="41">
                  <c:v>0.71627449374791141</c:v>
                </c:pt>
                <c:pt idx="42">
                  <c:v>0.68246600795147361</c:v>
                </c:pt>
                <c:pt idx="43">
                  <c:v>0.67881999312106467</c:v>
                </c:pt>
                <c:pt idx="44">
                  <c:v>0.69821020129662481</c:v>
                </c:pt>
                <c:pt idx="45">
                  <c:v>0.7200862058086307</c:v>
                </c:pt>
                <c:pt idx="46">
                  <c:v>0.72472657296179699</c:v>
                </c:pt>
                <c:pt idx="47">
                  <c:v>0.72820683987962698</c:v>
                </c:pt>
                <c:pt idx="48">
                  <c:v>0.74527679690224569</c:v>
                </c:pt>
                <c:pt idx="49">
                  <c:v>0.78654294201345354</c:v>
                </c:pt>
                <c:pt idx="50">
                  <c:v>0.77013594285297149</c:v>
                </c:pt>
                <c:pt idx="51">
                  <c:v>0.71494864559999605</c:v>
                </c:pt>
                <c:pt idx="52">
                  <c:v>0.74378526841810944</c:v>
                </c:pt>
                <c:pt idx="53">
                  <c:v>0.74295661332566265</c:v>
                </c:pt>
                <c:pt idx="54">
                  <c:v>0.72903547807798441</c:v>
                </c:pt>
                <c:pt idx="55">
                  <c:v>0.73317870285795128</c:v>
                </c:pt>
                <c:pt idx="56">
                  <c:v>0.76532982778722614</c:v>
                </c:pt>
                <c:pt idx="57">
                  <c:v>0.75803784880867686</c:v>
                </c:pt>
                <c:pt idx="58">
                  <c:v>0.74536721406951945</c:v>
                </c:pt>
                <c:pt idx="59">
                  <c:v>0.70836917484823492</c:v>
                </c:pt>
                <c:pt idx="60">
                  <c:v>0.71461997108779296</c:v>
                </c:pt>
                <c:pt idx="61">
                  <c:v>0.70955176111676288</c:v>
                </c:pt>
                <c:pt idx="62">
                  <c:v>0.76597802021509587</c:v>
                </c:pt>
                <c:pt idx="63">
                  <c:v>0.7423262779504477</c:v>
                </c:pt>
                <c:pt idx="64">
                  <c:v>0.76648482600751833</c:v>
                </c:pt>
                <c:pt idx="65">
                  <c:v>0.75280064725987406</c:v>
                </c:pt>
                <c:pt idx="66">
                  <c:v>0.75347636015962149</c:v>
                </c:pt>
                <c:pt idx="67">
                  <c:v>0.77560765125882336</c:v>
                </c:pt>
                <c:pt idx="68">
                  <c:v>0.78118273459863419</c:v>
                </c:pt>
                <c:pt idx="69">
                  <c:v>0.76090981024406568</c:v>
                </c:pt>
                <c:pt idx="70">
                  <c:v>0.76817426875073735</c:v>
                </c:pt>
                <c:pt idx="71">
                  <c:v>0.7818584474983814</c:v>
                </c:pt>
                <c:pt idx="72">
                  <c:v>0.79925939352347164</c:v>
                </c:pt>
                <c:pt idx="73">
                  <c:v>0.83186500324983159</c:v>
                </c:pt>
                <c:pt idx="74">
                  <c:v>0.82949976313641749</c:v>
                </c:pt>
                <c:pt idx="75">
                  <c:v>0.89673830712336411</c:v>
                </c:pt>
                <c:pt idx="76">
                  <c:v>0.92478249577702665</c:v>
                </c:pt>
                <c:pt idx="77">
                  <c:v>0.90417167273736065</c:v>
                </c:pt>
                <c:pt idx="78">
                  <c:v>0.85568566951589431</c:v>
                </c:pt>
                <c:pt idx="79">
                  <c:v>0.7801690554374312</c:v>
                </c:pt>
                <c:pt idx="80">
                  <c:v>0.79689417030414722</c:v>
                </c:pt>
                <c:pt idx="81">
                  <c:v>0.79638736451172476</c:v>
                </c:pt>
                <c:pt idx="82">
                  <c:v>0.81429513322332703</c:v>
                </c:pt>
                <c:pt idx="83">
                  <c:v>0.78777141262920025</c:v>
                </c:pt>
                <c:pt idx="84">
                  <c:v>0.7926706479165474</c:v>
                </c:pt>
                <c:pt idx="85">
                  <c:v>0.77679023752735132</c:v>
                </c:pt>
                <c:pt idx="86">
                  <c:v>0.78422360314134787</c:v>
                </c:pt>
                <c:pt idx="87">
                  <c:v>0.78895399889772833</c:v>
                </c:pt>
                <c:pt idx="88">
                  <c:v>0.75178698499276064</c:v>
                </c:pt>
                <c:pt idx="89">
                  <c:v>0.76310599120334899</c:v>
                </c:pt>
                <c:pt idx="90">
                  <c:v>0.73692016929431992</c:v>
                </c:pt>
                <c:pt idx="91">
                  <c:v>0.74874604887368879</c:v>
                </c:pt>
                <c:pt idx="92">
                  <c:v>0.75550370158793811</c:v>
                </c:pt>
                <c:pt idx="93">
                  <c:v>0.7384406373538559</c:v>
                </c:pt>
                <c:pt idx="94">
                  <c:v>0.74469150116977212</c:v>
                </c:pt>
                <c:pt idx="95">
                  <c:v>0.74992861824812729</c:v>
                </c:pt>
                <c:pt idx="96">
                  <c:v>0.73050046594743689</c:v>
                </c:pt>
                <c:pt idx="97">
                  <c:v>0.72881100631012841</c:v>
                </c:pt>
                <c:pt idx="98">
                  <c:v>0.69873956069859688</c:v>
                </c:pt>
                <c:pt idx="99">
                  <c:v>0.72053295311270138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42-472F-91A5-4EEE0D31E315}"/>
            </c:ext>
          </c:extLst>
        </c:ser>
        <c:ser>
          <c:idx val="3"/>
          <c:order val="3"/>
          <c:tx>
            <c:strRef>
              <c:f>Returns!$E$1</c:f>
              <c:strCache>
                <c:ptCount val="1"/>
                <c:pt idx="0">
                  <c:v>4. Fixed Rate Bond</c:v>
                </c:pt>
              </c:strCache>
            </c:strRef>
          </c:tx>
          <c:marker>
            <c:symbol val="none"/>
          </c:marker>
          <c:cat>
            <c:numRef>
              <c:f>Returns!$A$2:$A$101</c:f>
              <c:numCache>
                <c:formatCode>m/d/yyyy</c:formatCode>
                <c:ptCount val="100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43899</c:v>
                </c:pt>
                <c:pt idx="14">
                  <c:v>43900</c:v>
                </c:pt>
                <c:pt idx="15">
                  <c:v>43901</c:v>
                </c:pt>
                <c:pt idx="16">
                  <c:v>43902</c:v>
                </c:pt>
                <c:pt idx="17">
                  <c:v>43903</c:v>
                </c:pt>
                <c:pt idx="18">
                  <c:v>43906</c:v>
                </c:pt>
                <c:pt idx="19">
                  <c:v>43907</c:v>
                </c:pt>
                <c:pt idx="20">
                  <c:v>43908</c:v>
                </c:pt>
                <c:pt idx="21">
                  <c:v>43909</c:v>
                </c:pt>
                <c:pt idx="22">
                  <c:v>43910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43920</c:v>
                </c:pt>
                <c:pt idx="29">
                  <c:v>43921</c:v>
                </c:pt>
                <c:pt idx="30">
                  <c:v>43922</c:v>
                </c:pt>
                <c:pt idx="31">
                  <c:v>43923</c:v>
                </c:pt>
                <c:pt idx="32">
                  <c:v>43924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43934</c:v>
                </c:pt>
                <c:pt idx="38">
                  <c:v>43935</c:v>
                </c:pt>
                <c:pt idx="39">
                  <c:v>43936</c:v>
                </c:pt>
                <c:pt idx="40">
                  <c:v>43937</c:v>
                </c:pt>
                <c:pt idx="41">
                  <c:v>43938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43948</c:v>
                </c:pt>
                <c:pt idx="48">
                  <c:v>43949</c:v>
                </c:pt>
                <c:pt idx="49">
                  <c:v>43950</c:v>
                </c:pt>
                <c:pt idx="50">
                  <c:v>43951</c:v>
                </c:pt>
                <c:pt idx="51">
                  <c:v>43952</c:v>
                </c:pt>
                <c:pt idx="52">
                  <c:v>43955</c:v>
                </c:pt>
                <c:pt idx="53">
                  <c:v>43956</c:v>
                </c:pt>
                <c:pt idx="54">
                  <c:v>43957</c:v>
                </c:pt>
                <c:pt idx="55">
                  <c:v>43958</c:v>
                </c:pt>
                <c:pt idx="56">
                  <c:v>43959</c:v>
                </c:pt>
                <c:pt idx="57">
                  <c:v>43962</c:v>
                </c:pt>
                <c:pt idx="58">
                  <c:v>43963</c:v>
                </c:pt>
                <c:pt idx="59">
                  <c:v>43964</c:v>
                </c:pt>
                <c:pt idx="60">
                  <c:v>43965</c:v>
                </c:pt>
                <c:pt idx="61">
                  <c:v>43966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43977</c:v>
                </c:pt>
                <c:pt idx="68">
                  <c:v>43978</c:v>
                </c:pt>
                <c:pt idx="69">
                  <c:v>43979</c:v>
                </c:pt>
                <c:pt idx="70">
                  <c:v>43980</c:v>
                </c:pt>
                <c:pt idx="71">
                  <c:v>43983</c:v>
                </c:pt>
                <c:pt idx="72">
                  <c:v>43984</c:v>
                </c:pt>
                <c:pt idx="73">
                  <c:v>43985</c:v>
                </c:pt>
                <c:pt idx="74">
                  <c:v>43986</c:v>
                </c:pt>
                <c:pt idx="75">
                  <c:v>43987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43997</c:v>
                </c:pt>
                <c:pt idx="82">
                  <c:v>43998</c:v>
                </c:pt>
                <c:pt idx="83">
                  <c:v>43999</c:v>
                </c:pt>
                <c:pt idx="84">
                  <c:v>44000</c:v>
                </c:pt>
                <c:pt idx="85">
                  <c:v>44001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44011</c:v>
                </c:pt>
                <c:pt idx="92">
                  <c:v>44012</c:v>
                </c:pt>
                <c:pt idx="93">
                  <c:v>44013</c:v>
                </c:pt>
                <c:pt idx="94">
                  <c:v>44014</c:v>
                </c:pt>
                <c:pt idx="95">
                  <c:v>44018</c:v>
                </c:pt>
                <c:pt idx="96">
                  <c:v>44019</c:v>
                </c:pt>
                <c:pt idx="97">
                  <c:v>44020</c:v>
                </c:pt>
                <c:pt idx="98">
                  <c:v>44021</c:v>
                </c:pt>
                <c:pt idx="99">
                  <c:v>44022</c:v>
                </c:pt>
              </c:numCache>
            </c:numRef>
          </c:cat>
          <c:val>
            <c:numRef>
              <c:f>Returns!$E$2:$E$101</c:f>
              <c:numCache>
                <c:formatCode>0%</c:formatCode>
                <c:ptCount val="100"/>
                <c:pt idx="0">
                  <c:v>1</c:v>
                </c:pt>
                <c:pt idx="1">
                  <c:v>0.9165758617095312</c:v>
                </c:pt>
                <c:pt idx="2">
                  <c:v>0.95647275039270963</c:v>
                </c:pt>
                <c:pt idx="3">
                  <c:v>1.0213577970503478</c:v>
                </c:pt>
                <c:pt idx="4">
                  <c:v>0.95471058240625661</c:v>
                </c:pt>
                <c:pt idx="5">
                  <c:v>0.94770703342966933</c:v>
                </c:pt>
                <c:pt idx="6">
                  <c:v>0.94575541079054481</c:v>
                </c:pt>
                <c:pt idx="7">
                  <c:v>0.92128738347738415</c:v>
                </c:pt>
                <c:pt idx="8">
                  <c:v>1.0250599086449319</c:v>
                </c:pt>
                <c:pt idx="9">
                  <c:v>0.91801389225269869</c:v>
                </c:pt>
                <c:pt idx="10">
                  <c:v>1.0624122227059083</c:v>
                </c:pt>
                <c:pt idx="11">
                  <c:v>0.98731073850272688</c:v>
                </c:pt>
                <c:pt idx="12">
                  <c:v>1.1319513277353721</c:v>
                </c:pt>
                <c:pt idx="13">
                  <c:v>1.0184050550849295</c:v>
                </c:pt>
                <c:pt idx="14">
                  <c:v>0.92577010117142755</c:v>
                </c:pt>
                <c:pt idx="15">
                  <c:v>1.0002628903077011</c:v>
                </c:pt>
                <c:pt idx="16">
                  <c:v>1.0121549579536888</c:v>
                </c:pt>
                <c:pt idx="17">
                  <c:v>1.1353816046134273</c:v>
                </c:pt>
                <c:pt idx="18">
                  <c:v>1.2775180656599832</c:v>
                </c:pt>
                <c:pt idx="19">
                  <c:v>0.91254726287593146</c:v>
                </c:pt>
                <c:pt idx="20">
                  <c:v>1.225439406436813</c:v>
                </c:pt>
                <c:pt idx="21">
                  <c:v>1.0942656041959697</c:v>
                </c:pt>
                <c:pt idx="22">
                  <c:v>1.238623718431858</c:v>
                </c:pt>
                <c:pt idx="23">
                  <c:v>1.2292065208432768</c:v>
                </c:pt>
                <c:pt idx="24">
                  <c:v>0.98438788115969134</c:v>
                </c:pt>
                <c:pt idx="25">
                  <c:v>1.2747773050008993</c:v>
                </c:pt>
                <c:pt idx="26">
                  <c:v>1.016052840009926</c:v>
                </c:pt>
                <c:pt idx="27">
                  <c:v>1.1289442459125572</c:v>
                </c:pt>
                <c:pt idx="28">
                  <c:v>1.0087245471200064</c:v>
                </c:pt>
                <c:pt idx="29">
                  <c:v>1.0539345377644183</c:v>
                </c:pt>
                <c:pt idx="30">
                  <c:v>1.3239329435540879</c:v>
                </c:pt>
                <c:pt idx="31">
                  <c:v>1.1130991079733275</c:v>
                </c:pt>
                <c:pt idx="32">
                  <c:v>1.0619262921397077</c:v>
                </c:pt>
                <c:pt idx="33">
                  <c:v>1.0388031338904626</c:v>
                </c:pt>
                <c:pt idx="34">
                  <c:v>1.243633032801633</c:v>
                </c:pt>
                <c:pt idx="35">
                  <c:v>1.0405120485005521</c:v>
                </c:pt>
                <c:pt idx="36">
                  <c:v>1.2087501106772833</c:v>
                </c:pt>
                <c:pt idx="37">
                  <c:v>0.95358133126071642</c:v>
                </c:pt>
                <c:pt idx="38">
                  <c:v>1.1121023839671493</c:v>
                </c:pt>
                <c:pt idx="39">
                  <c:v>0.99080262774245098</c:v>
                </c:pt>
                <c:pt idx="40">
                  <c:v>1.0959659322205424</c:v>
                </c:pt>
                <c:pt idx="41">
                  <c:v>1.164706233695854</c:v>
                </c:pt>
                <c:pt idx="42">
                  <c:v>1.196115628118011</c:v>
                </c:pt>
                <c:pt idx="43">
                  <c:v>1.3026249154500966</c:v>
                </c:pt>
                <c:pt idx="44">
                  <c:v>1.088600354199154</c:v>
                </c:pt>
                <c:pt idx="45">
                  <c:v>1.0992776415739789</c:v>
                </c:pt>
                <c:pt idx="46">
                  <c:v>1.1355570347460167</c:v>
                </c:pt>
                <c:pt idx="47">
                  <c:v>1.1128773432354091</c:v>
                </c:pt>
                <c:pt idx="48">
                  <c:v>1.0859579839689131</c:v>
                </c:pt>
                <c:pt idx="49">
                  <c:v>1.1340473115012788</c:v>
                </c:pt>
                <c:pt idx="50">
                  <c:v>1.0626365058721219</c:v>
                </c:pt>
                <c:pt idx="51">
                  <c:v>1.3279179170952367</c:v>
                </c:pt>
                <c:pt idx="52">
                  <c:v>1.0489753364905172</c:v>
                </c:pt>
                <c:pt idx="53">
                  <c:v>1.0621010907435005</c:v>
                </c:pt>
                <c:pt idx="54">
                  <c:v>1.1858595626206438</c:v>
                </c:pt>
                <c:pt idx="55">
                  <c:v>1.3477662317593864</c:v>
                </c:pt>
                <c:pt idx="56">
                  <c:v>1.2760573681140508</c:v>
                </c:pt>
                <c:pt idx="57">
                  <c:v>1.0953528656899911</c:v>
                </c:pt>
                <c:pt idx="58">
                  <c:v>1.0604475973924847</c:v>
                </c:pt>
                <c:pt idx="59">
                  <c:v>1.3584010560484321</c:v>
                </c:pt>
                <c:pt idx="60">
                  <c:v>1.3942139610752466</c:v>
                </c:pt>
                <c:pt idx="61">
                  <c:v>1.2943201492471983</c:v>
                </c:pt>
                <c:pt idx="62">
                  <c:v>1.3396664559155487</c:v>
                </c:pt>
                <c:pt idx="63">
                  <c:v>1.3798790625455177</c:v>
                </c:pt>
                <c:pt idx="64">
                  <c:v>1.1626563953312283</c:v>
                </c:pt>
                <c:pt idx="65">
                  <c:v>1.172797503394498</c:v>
                </c:pt>
                <c:pt idx="66">
                  <c:v>1.0803596466918066</c:v>
                </c:pt>
                <c:pt idx="67">
                  <c:v>1.2472289060464408</c:v>
                </c:pt>
                <c:pt idx="68">
                  <c:v>1.2314256318030024</c:v>
                </c:pt>
                <c:pt idx="69">
                  <c:v>1.228861259047024</c:v>
                </c:pt>
                <c:pt idx="70">
                  <c:v>1.1996449008479759</c:v>
                </c:pt>
                <c:pt idx="71">
                  <c:v>1.2409081427515676</c:v>
                </c:pt>
                <c:pt idx="72">
                  <c:v>1.3747809890697231</c:v>
                </c:pt>
                <c:pt idx="73">
                  <c:v>1.2777434247416379</c:v>
                </c:pt>
                <c:pt idx="74">
                  <c:v>1.2089896951298047</c:v>
                </c:pt>
                <c:pt idx="75">
                  <c:v>1.2352412108671231</c:v>
                </c:pt>
                <c:pt idx="76">
                  <c:v>1.1479792704641651</c:v>
                </c:pt>
                <c:pt idx="77">
                  <c:v>1.3558743922790886</c:v>
                </c:pt>
                <c:pt idx="78">
                  <c:v>1.3227403056353397</c:v>
                </c:pt>
                <c:pt idx="79">
                  <c:v>1.1103823557670063</c:v>
                </c:pt>
                <c:pt idx="80">
                  <c:v>1.2889475704827862</c:v>
                </c:pt>
                <c:pt idx="81">
                  <c:v>1.2968740967929622</c:v>
                </c:pt>
                <c:pt idx="82">
                  <c:v>1.2952779971135855</c:v>
                </c:pt>
                <c:pt idx="83">
                  <c:v>1.1977059152180958</c:v>
                </c:pt>
                <c:pt idx="84">
                  <c:v>1.3409449791931529</c:v>
                </c:pt>
                <c:pt idx="85">
                  <c:v>1.3798970737059968</c:v>
                </c:pt>
                <c:pt idx="86">
                  <c:v>1.3381690170008613</c:v>
                </c:pt>
                <c:pt idx="87">
                  <c:v>1.1831980893629952</c:v>
                </c:pt>
                <c:pt idx="88">
                  <c:v>1.3075192526130288</c:v>
                </c:pt>
                <c:pt idx="89">
                  <c:v>1.3653521325164331</c:v>
                </c:pt>
                <c:pt idx="90">
                  <c:v>1.4074306195216608</c:v>
                </c:pt>
                <c:pt idx="91">
                  <c:v>1.4189814495795396</c:v>
                </c:pt>
                <c:pt idx="92">
                  <c:v>1.3310381236376732</c:v>
                </c:pt>
                <c:pt idx="93">
                  <c:v>1.2970275278766856</c:v>
                </c:pt>
                <c:pt idx="94">
                  <c:v>1.4223702009323054</c:v>
                </c:pt>
                <c:pt idx="95">
                  <c:v>1.3822505473920887</c:v>
                </c:pt>
                <c:pt idx="96">
                  <c:v>1.2964227904673227</c:v>
                </c:pt>
                <c:pt idx="97">
                  <c:v>1.3984875446313743</c:v>
                </c:pt>
                <c:pt idx="98">
                  <c:v>1.3288342271674565</c:v>
                </c:pt>
                <c:pt idx="99">
                  <c:v>1.3962432099313171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42-472F-91A5-4EEE0D31E315}"/>
            </c:ext>
          </c:extLst>
        </c:ser>
        <c:ser>
          <c:idx val="4"/>
          <c:order val="4"/>
          <c:tx>
            <c:strRef>
              <c:f>Returns!$F$1</c:f>
              <c:strCache>
                <c:ptCount val="1"/>
                <c:pt idx="0">
                  <c:v>5. Floating Rate Note</c:v>
                </c:pt>
              </c:strCache>
            </c:strRef>
          </c:tx>
          <c:marker>
            <c:symbol val="none"/>
          </c:marker>
          <c:cat>
            <c:numRef>
              <c:f>Returns!$A$2:$A$101</c:f>
              <c:numCache>
                <c:formatCode>m/d/yyyy</c:formatCode>
                <c:ptCount val="100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43899</c:v>
                </c:pt>
                <c:pt idx="14">
                  <c:v>43900</c:v>
                </c:pt>
                <c:pt idx="15">
                  <c:v>43901</c:v>
                </c:pt>
                <c:pt idx="16">
                  <c:v>43902</c:v>
                </c:pt>
                <c:pt idx="17">
                  <c:v>43903</c:v>
                </c:pt>
                <c:pt idx="18">
                  <c:v>43906</c:v>
                </c:pt>
                <c:pt idx="19">
                  <c:v>43907</c:v>
                </c:pt>
                <c:pt idx="20">
                  <c:v>43908</c:v>
                </c:pt>
                <c:pt idx="21">
                  <c:v>43909</c:v>
                </c:pt>
                <c:pt idx="22">
                  <c:v>43910</c:v>
                </c:pt>
                <c:pt idx="23">
                  <c:v>43913</c:v>
                </c:pt>
                <c:pt idx="24">
                  <c:v>43914</c:v>
                </c:pt>
                <c:pt idx="25">
                  <c:v>43915</c:v>
                </c:pt>
                <c:pt idx="26">
                  <c:v>43916</c:v>
                </c:pt>
                <c:pt idx="27">
                  <c:v>43917</c:v>
                </c:pt>
                <c:pt idx="28">
                  <c:v>43920</c:v>
                </c:pt>
                <c:pt idx="29">
                  <c:v>43921</c:v>
                </c:pt>
                <c:pt idx="30">
                  <c:v>43922</c:v>
                </c:pt>
                <c:pt idx="31">
                  <c:v>43923</c:v>
                </c:pt>
                <c:pt idx="32">
                  <c:v>43924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43934</c:v>
                </c:pt>
                <c:pt idx="38">
                  <c:v>43935</c:v>
                </c:pt>
                <c:pt idx="39">
                  <c:v>43936</c:v>
                </c:pt>
                <c:pt idx="40">
                  <c:v>43937</c:v>
                </c:pt>
                <c:pt idx="41">
                  <c:v>43938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43948</c:v>
                </c:pt>
                <c:pt idx="48">
                  <c:v>43949</c:v>
                </c:pt>
                <c:pt idx="49">
                  <c:v>43950</c:v>
                </c:pt>
                <c:pt idx="50">
                  <c:v>43951</c:v>
                </c:pt>
                <c:pt idx="51">
                  <c:v>43952</c:v>
                </c:pt>
                <c:pt idx="52">
                  <c:v>43955</c:v>
                </c:pt>
                <c:pt idx="53">
                  <c:v>43956</c:v>
                </c:pt>
                <c:pt idx="54">
                  <c:v>43957</c:v>
                </c:pt>
                <c:pt idx="55">
                  <c:v>43958</c:v>
                </c:pt>
                <c:pt idx="56">
                  <c:v>43959</c:v>
                </c:pt>
                <c:pt idx="57">
                  <c:v>43962</c:v>
                </c:pt>
                <c:pt idx="58">
                  <c:v>43963</c:v>
                </c:pt>
                <c:pt idx="59">
                  <c:v>43964</c:v>
                </c:pt>
                <c:pt idx="60">
                  <c:v>43965</c:v>
                </c:pt>
                <c:pt idx="61">
                  <c:v>43966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43977</c:v>
                </c:pt>
                <c:pt idx="68">
                  <c:v>43978</c:v>
                </c:pt>
                <c:pt idx="69">
                  <c:v>43979</c:v>
                </c:pt>
                <c:pt idx="70">
                  <c:v>43980</c:v>
                </c:pt>
                <c:pt idx="71">
                  <c:v>43983</c:v>
                </c:pt>
                <c:pt idx="72">
                  <c:v>43984</c:v>
                </c:pt>
                <c:pt idx="73">
                  <c:v>43985</c:v>
                </c:pt>
                <c:pt idx="74">
                  <c:v>43986</c:v>
                </c:pt>
                <c:pt idx="75">
                  <c:v>43987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43997</c:v>
                </c:pt>
                <c:pt idx="82">
                  <c:v>43998</c:v>
                </c:pt>
                <c:pt idx="83">
                  <c:v>43999</c:v>
                </c:pt>
                <c:pt idx="84">
                  <c:v>44000</c:v>
                </c:pt>
                <c:pt idx="85">
                  <c:v>44001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44011</c:v>
                </c:pt>
                <c:pt idx="92">
                  <c:v>44012</c:v>
                </c:pt>
                <c:pt idx="93">
                  <c:v>44013</c:v>
                </c:pt>
                <c:pt idx="94">
                  <c:v>44014</c:v>
                </c:pt>
                <c:pt idx="95">
                  <c:v>44018</c:v>
                </c:pt>
                <c:pt idx="96">
                  <c:v>44019</c:v>
                </c:pt>
                <c:pt idx="97">
                  <c:v>44020</c:v>
                </c:pt>
                <c:pt idx="98">
                  <c:v>44021</c:v>
                </c:pt>
                <c:pt idx="99">
                  <c:v>44022</c:v>
                </c:pt>
              </c:numCache>
            </c:numRef>
          </c:cat>
          <c:val>
            <c:numRef>
              <c:f>Returns!$F$2:$F$101</c:f>
              <c:numCache>
                <c:formatCode>0%</c:formatCode>
                <c:ptCount val="100"/>
                <c:pt idx="0">
                  <c:v>1</c:v>
                </c:pt>
                <c:pt idx="1">
                  <c:v>0.96073179909263029</c:v>
                </c:pt>
                <c:pt idx="2">
                  <c:v>0.97987649210082206</c:v>
                </c:pt>
                <c:pt idx="3">
                  <c:v>1.0097691239136466</c:v>
                </c:pt>
                <c:pt idx="4">
                  <c:v>0.9791504862440733</c:v>
                </c:pt>
                <c:pt idx="5">
                  <c:v>0.97586314645338335</c:v>
                </c:pt>
                <c:pt idx="6">
                  <c:v>0.97496322710652661</c:v>
                </c:pt>
                <c:pt idx="7">
                  <c:v>0.9632472399732559</c:v>
                </c:pt>
                <c:pt idx="8">
                  <c:v>1.0115839424770314</c:v>
                </c:pt>
                <c:pt idx="9">
                  <c:v>0.96177134449020074</c:v>
                </c:pt>
                <c:pt idx="10">
                  <c:v>1.0280792655087732</c:v>
                </c:pt>
                <c:pt idx="11">
                  <c:v>0.99455758402060845</c:v>
                </c:pt>
                <c:pt idx="12">
                  <c:v>1.0576030198370128</c:v>
                </c:pt>
                <c:pt idx="13">
                  <c:v>1.008765296993076</c:v>
                </c:pt>
                <c:pt idx="14">
                  <c:v>0.96572371988616534</c:v>
                </c:pt>
                <c:pt idx="15">
                  <c:v>1.0006219382583976</c:v>
                </c:pt>
                <c:pt idx="16">
                  <c:v>1.0060260024060454</c:v>
                </c:pt>
                <c:pt idx="17">
                  <c:v>1.0591368947296662</c:v>
                </c:pt>
                <c:pt idx="18">
                  <c:v>1.1152338076511814</c:v>
                </c:pt>
                <c:pt idx="19">
                  <c:v>0.95951035787066907</c:v>
                </c:pt>
                <c:pt idx="20">
                  <c:v>1.095292776059402</c:v>
                </c:pt>
                <c:pt idx="21">
                  <c:v>1.0420458008258804</c:v>
                </c:pt>
                <c:pt idx="22">
                  <c:v>1.100426104411262</c:v>
                </c:pt>
                <c:pt idx="23">
                  <c:v>1.0968138174991329</c:v>
                </c:pt>
                <c:pt idx="24">
                  <c:v>0.99368576794701424</c:v>
                </c:pt>
                <c:pt idx="25">
                  <c:v>1.1142765365330753</c:v>
                </c:pt>
                <c:pt idx="26">
                  <c:v>1.0081032522334099</c:v>
                </c:pt>
                <c:pt idx="27">
                  <c:v>1.05671137153394</c:v>
                </c:pt>
                <c:pt idx="28">
                  <c:v>1.0049035024922239</c:v>
                </c:pt>
                <c:pt idx="29">
                  <c:v>1.0249535544196251</c:v>
                </c:pt>
                <c:pt idx="30">
                  <c:v>1.1326133634204891</c:v>
                </c:pt>
                <c:pt idx="31">
                  <c:v>1.0502290072178642</c:v>
                </c:pt>
                <c:pt idx="32">
                  <c:v>1.0284870950857083</c:v>
                </c:pt>
                <c:pt idx="33">
                  <c:v>1.0184573895332245</c:v>
                </c:pt>
                <c:pt idx="34">
                  <c:v>1.1025452133668212</c:v>
                </c:pt>
                <c:pt idx="35">
                  <c:v>1.0192529398529615</c:v>
                </c:pt>
                <c:pt idx="36">
                  <c:v>1.0890356808351003</c:v>
                </c:pt>
                <c:pt idx="37">
                  <c:v>0.97989282275694378</c:v>
                </c:pt>
                <c:pt idx="38">
                  <c:v>1.0500276185912372</c:v>
                </c:pt>
                <c:pt idx="39">
                  <c:v>0.99716786546296188</c:v>
                </c:pt>
                <c:pt idx="40">
                  <c:v>1.0432929105767657</c:v>
                </c:pt>
                <c:pt idx="41">
                  <c:v>1.0716435995350488</c:v>
                </c:pt>
                <c:pt idx="42">
                  <c:v>1.0842074463463334</c:v>
                </c:pt>
                <c:pt idx="43">
                  <c:v>1.1248972065310423</c:v>
                </c:pt>
                <c:pt idx="44">
                  <c:v>1.0402929529335403</c:v>
                </c:pt>
                <c:pt idx="45">
                  <c:v>1.0448195785033141</c:v>
                </c:pt>
                <c:pt idx="46">
                  <c:v>1.0599058438515074</c:v>
                </c:pt>
                <c:pt idx="47">
                  <c:v>1.050584253858424</c:v>
                </c:pt>
                <c:pt idx="48">
                  <c:v>1.0392890605438616</c:v>
                </c:pt>
                <c:pt idx="49">
                  <c:v>1.0593700609799834</c:v>
                </c:pt>
                <c:pt idx="50">
                  <c:v>1.0293547832793091</c:v>
                </c:pt>
                <c:pt idx="51">
                  <c:v>1.1342435027741475</c:v>
                </c:pt>
                <c:pt idx="52">
                  <c:v>1.0235208842461696</c:v>
                </c:pt>
                <c:pt idx="53">
                  <c:v>1.0292282047485792</c:v>
                </c:pt>
                <c:pt idx="54">
                  <c:v>1.0803686657544529</c:v>
                </c:pt>
                <c:pt idx="55">
                  <c:v>1.1414566766408847</c:v>
                </c:pt>
                <c:pt idx="56">
                  <c:v>1.1151403416469319</c:v>
                </c:pt>
                <c:pt idx="57">
                  <c:v>1.0435085241249353</c:v>
                </c:pt>
                <c:pt idx="58">
                  <c:v>1.0286619185765054</c:v>
                </c:pt>
                <c:pt idx="59">
                  <c:v>1.145294404850957</c:v>
                </c:pt>
                <c:pt idx="60">
                  <c:v>1.1579645413865225</c:v>
                </c:pt>
                <c:pt idx="61">
                  <c:v>1.1220010915763556</c:v>
                </c:pt>
                <c:pt idx="62">
                  <c:v>1.1385924569402242</c:v>
                </c:pt>
                <c:pt idx="63">
                  <c:v>1.1529381051934757</c:v>
                </c:pt>
                <c:pt idx="64">
                  <c:v>1.0713181249943911</c:v>
                </c:pt>
                <c:pt idx="65">
                  <c:v>1.0753904720920613</c:v>
                </c:pt>
                <c:pt idx="66">
                  <c:v>1.0373865176470358</c:v>
                </c:pt>
                <c:pt idx="67">
                  <c:v>1.1044304762475832</c:v>
                </c:pt>
                <c:pt idx="68">
                  <c:v>1.098403727955225</c:v>
                </c:pt>
                <c:pt idx="69">
                  <c:v>1.0974300047480656</c:v>
                </c:pt>
                <c:pt idx="70">
                  <c:v>1.0861086361782175</c:v>
                </c:pt>
                <c:pt idx="71">
                  <c:v>1.1020870684727821</c:v>
                </c:pt>
                <c:pt idx="72">
                  <c:v>1.1511804028500101</c:v>
                </c:pt>
                <c:pt idx="73">
                  <c:v>1.1159962212379686</c:v>
                </c:pt>
                <c:pt idx="74">
                  <c:v>1.0898317268200346</c:v>
                </c:pt>
                <c:pt idx="75">
                  <c:v>1.0999666085220554</c:v>
                </c:pt>
                <c:pt idx="76">
                  <c:v>1.0657034607237947</c:v>
                </c:pt>
                <c:pt idx="77">
                  <c:v>1.144503145027969</c:v>
                </c:pt>
                <c:pt idx="78">
                  <c:v>1.1325975336701637</c:v>
                </c:pt>
                <c:pt idx="79">
                  <c:v>1.0503642586500674</c:v>
                </c:pt>
                <c:pt idx="80">
                  <c:v>1.1202322815602845</c:v>
                </c:pt>
                <c:pt idx="81">
                  <c:v>1.1231801548253419</c:v>
                </c:pt>
                <c:pt idx="82">
                  <c:v>1.1226001773613039</c:v>
                </c:pt>
                <c:pt idx="83">
                  <c:v>1.085601527626084</c:v>
                </c:pt>
                <c:pt idx="84">
                  <c:v>1.1392088008305969</c:v>
                </c:pt>
                <c:pt idx="85">
                  <c:v>1.1530303652439975</c:v>
                </c:pt>
                <c:pt idx="86">
                  <c:v>1.1382332396659727</c:v>
                </c:pt>
                <c:pt idx="87">
                  <c:v>1.0799895902392842</c:v>
                </c:pt>
                <c:pt idx="88">
                  <c:v>1.1271481915908732</c:v>
                </c:pt>
                <c:pt idx="89">
                  <c:v>1.1479278328655771</c:v>
                </c:pt>
                <c:pt idx="90">
                  <c:v>1.1626284223092753</c:v>
                </c:pt>
                <c:pt idx="91">
                  <c:v>1.1666063267006626</c:v>
                </c:pt>
                <c:pt idx="92">
                  <c:v>1.1357132290218384</c:v>
                </c:pt>
                <c:pt idx="93">
                  <c:v>1.1233579183755946</c:v>
                </c:pt>
                <c:pt idx="94">
                  <c:v>1.1677686715141151</c:v>
                </c:pt>
                <c:pt idx="95">
                  <c:v>1.1539007458522861</c:v>
                </c:pt>
                <c:pt idx="96">
                  <c:v>1.1231817390828225</c:v>
                </c:pt>
                <c:pt idx="97">
                  <c:v>1.159553446639465</c:v>
                </c:pt>
                <c:pt idx="98">
                  <c:v>1.1349712152551323</c:v>
                </c:pt>
                <c:pt idx="99">
                  <c:v>1.158779503656389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42-472F-91A5-4EEE0D31E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3169983"/>
        <c:axId val="1197359695"/>
      </c:lineChart>
      <c:dateAx>
        <c:axId val="1463169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" sourceLinked="0"/>
        <c:majorTickMark val="out"/>
        <c:minorTickMark val="none"/>
        <c:tickLblPos val="nextTo"/>
        <c:crossAx val="1197359695"/>
        <c:crosses val="autoZero"/>
        <c:auto val="1"/>
        <c:lblOffset val="100"/>
        <c:baseTimeUnit val="days"/>
      </c:dateAx>
      <c:valAx>
        <c:axId val="1197359695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463169983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Value-at-Risk by Position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Report!$H$1</c:f>
              <c:strCache>
                <c:ptCount val="1"/>
                <c:pt idx="0">
                  <c:v>95% VaR</c:v>
                </c:pt>
              </c:strCache>
            </c:strRef>
          </c:tx>
          <c:invertIfNegative val="0"/>
          <c:cat>
            <c:strRef>
              <c:f>Report!$B$2:$B$7</c:f>
              <c:strCache>
                <c:ptCount val="6"/>
                <c:pt idx="0">
                  <c:v>Cash</c:v>
                </c:pt>
                <c:pt idx="1">
                  <c:v>Stock</c:v>
                </c:pt>
                <c:pt idx="2">
                  <c:v>Stock</c:v>
                </c:pt>
                <c:pt idx="3">
                  <c:v>Fixed Rate Bond</c:v>
                </c:pt>
                <c:pt idx="4">
                  <c:v>Floating Rate Note</c:v>
                </c:pt>
                <c:pt idx="5">
                  <c:v>Portfolio</c:v>
                </c:pt>
              </c:strCache>
            </c:strRef>
          </c:cat>
          <c:val>
            <c:numRef>
              <c:f>Report!$H$2:$H$7</c:f>
              <c:numCache>
                <c:formatCode>0.0%</c:formatCode>
                <c:ptCount val="6"/>
                <c:pt idx="0">
                  <c:v>0</c:v>
                </c:pt>
                <c:pt idx="1">
                  <c:v>5.0575795863505663E-2</c:v>
                </c:pt>
                <c:pt idx="2">
                  <c:v>7.3318521995342514E-2</c:v>
                </c:pt>
                <c:pt idx="3">
                  <c:v>0.16778907434875215</c:v>
                </c:pt>
                <c:pt idx="4">
                  <c:v>7.739341625263807E-2</c:v>
                </c:pt>
                <c:pt idx="5">
                  <c:v>6.9218784576764419E-2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54-4975-8227-7A98E3A431DA}"/>
            </c:ext>
          </c:extLst>
        </c:ser>
        <c:ser>
          <c:idx val="1"/>
          <c:order val="1"/>
          <c:tx>
            <c:strRef>
              <c:f>Report!$I$1</c:f>
              <c:strCache>
                <c:ptCount val="1"/>
                <c:pt idx="0">
                  <c:v>99% VaR</c:v>
                </c:pt>
              </c:strCache>
            </c:strRef>
          </c:tx>
          <c:invertIfNegative val="0"/>
          <c:cat>
            <c:strRef>
              <c:f>Report!$B$2:$B$7</c:f>
              <c:strCache>
                <c:ptCount val="6"/>
                <c:pt idx="0">
                  <c:v>Cash</c:v>
                </c:pt>
                <c:pt idx="1">
                  <c:v>Stock</c:v>
                </c:pt>
                <c:pt idx="2">
                  <c:v>Stock</c:v>
                </c:pt>
                <c:pt idx="3">
                  <c:v>Fixed Rate Bond</c:v>
                </c:pt>
                <c:pt idx="4">
                  <c:v>Floating Rate Note</c:v>
                </c:pt>
                <c:pt idx="5">
                  <c:v>Portfolio</c:v>
                </c:pt>
              </c:strCache>
            </c:strRef>
          </c:cat>
          <c:val>
            <c:numRef>
              <c:f>Report!$I$2:$I$7</c:f>
              <c:numCache>
                <c:formatCode>0.0%</c:formatCode>
                <c:ptCount val="6"/>
                <c:pt idx="0">
                  <c:v>0</c:v>
                </c:pt>
                <c:pt idx="1">
                  <c:v>0.12772271569572302</c:v>
                </c:pt>
                <c:pt idx="2">
                  <c:v>0.11449826499631625</c:v>
                </c:pt>
                <c:pt idx="3">
                  <c:v>0.21259307019830517</c:v>
                </c:pt>
                <c:pt idx="4">
                  <c:v>0.10100799210131116</c:v>
                </c:pt>
                <c:pt idx="5">
                  <c:v>8.4648626277861544E-2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54-4975-8227-7A98E3A43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63161183"/>
        <c:axId val="1197355951"/>
      </c:barChart>
      <c:catAx>
        <c:axId val="146316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7355951"/>
        <c:crosses val="autoZero"/>
        <c:auto val="1"/>
        <c:lblAlgn val="ctr"/>
        <c:lblOffset val="100"/>
        <c:noMultiLvlLbl val="0"/>
      </c:catAx>
      <c:valAx>
        <c:axId val="119735595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1463161183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38100</xdr:rowOff>
        </xdr:from>
        <xdr:to>
          <xdr:col>16</xdr:col>
          <xdr:colOff>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positions to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45720</xdr:rowOff>
        </xdr:from>
        <xdr:to>
          <xdr:col>16</xdr:col>
          <xdr:colOff>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129540</xdr:rowOff>
        </xdr:from>
        <xdr:to>
          <xdr:col>16</xdr:col>
          <xdr:colOff>0</xdr:colOff>
          <xdr:row>6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 portfolio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10</xdr:row>
      <xdr:rowOff>76200</xdr:rowOff>
    </xdr:from>
    <xdr:to>
      <xdr:col>9</xdr:col>
      <xdr:colOff>15240</xdr:colOff>
      <xdr:row>28</xdr:row>
      <xdr:rowOff>86360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332740</xdr:colOff>
      <xdr:row>10</xdr:row>
      <xdr:rowOff>76200</xdr:rowOff>
    </xdr:from>
    <xdr:to>
      <xdr:col>17</xdr:col>
      <xdr:colOff>535940</xdr:colOff>
      <xdr:row>28</xdr:row>
      <xdr:rowOff>86360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1"/>
  <sheetViews>
    <sheetView showGridLines="0" zoomScaleNormal="100" workbookViewId="0"/>
  </sheetViews>
  <sheetFormatPr defaultRowHeight="14.4" x14ac:dyDescent="0.3"/>
  <cols>
    <col min="1" max="1" width="9.5546875" style="1" bestFit="1" customWidth="1"/>
    <col min="3" max="3" width="10.5546875" style="10" bestFit="1" customWidth="1"/>
  </cols>
  <sheetData>
    <row r="1" spans="1:3" x14ac:dyDescent="0.3">
      <c r="A1" s="7" t="s">
        <v>0</v>
      </c>
      <c r="B1" s="7" t="s">
        <v>1</v>
      </c>
      <c r="C1" s="7" t="s">
        <v>2</v>
      </c>
    </row>
    <row r="2" spans="1:3" x14ac:dyDescent="0.3">
      <c r="A2" s="28">
        <v>43880</v>
      </c>
      <c r="B2" s="6" t="s">
        <v>27</v>
      </c>
      <c r="C2" s="4">
        <v>28.33</v>
      </c>
    </row>
    <row r="3" spans="1:3" x14ac:dyDescent="0.3">
      <c r="A3" s="28">
        <v>43880</v>
      </c>
      <c r="B3" s="6" t="s">
        <v>28</v>
      </c>
      <c r="C3" s="4">
        <v>40.970001000000003</v>
      </c>
    </row>
    <row r="4" spans="1:3" x14ac:dyDescent="0.3">
      <c r="A4" s="28">
        <v>43880</v>
      </c>
      <c r="B4" s="6" t="s">
        <v>29</v>
      </c>
      <c r="C4" s="4">
        <v>121.428833</v>
      </c>
    </row>
    <row r="5" spans="1:3" x14ac:dyDescent="0.3">
      <c r="A5" s="28">
        <v>43880</v>
      </c>
      <c r="B5" s="6" t="s">
        <v>30</v>
      </c>
      <c r="C5" s="4">
        <v>56.891047999999998</v>
      </c>
    </row>
    <row r="6" spans="1:3" x14ac:dyDescent="0.3">
      <c r="A6" s="28">
        <v>43880</v>
      </c>
      <c r="B6" s="6" t="s">
        <v>31</v>
      </c>
      <c r="C6" s="4">
        <v>7.0505380000000004</v>
      </c>
    </row>
    <row r="7" spans="1:3" x14ac:dyDescent="0.3">
      <c r="A7" s="28">
        <v>43880</v>
      </c>
      <c r="B7" s="6" t="s">
        <v>32</v>
      </c>
      <c r="C7" s="4">
        <v>14.91</v>
      </c>
    </row>
    <row r="8" spans="1:3" x14ac:dyDescent="0.3">
      <c r="A8" s="28">
        <v>43880</v>
      </c>
      <c r="B8" s="6" t="s">
        <v>33</v>
      </c>
      <c r="C8" s="4">
        <v>36.078158999999999</v>
      </c>
    </row>
    <row r="9" spans="1:3" x14ac:dyDescent="0.3">
      <c r="A9" s="28">
        <v>43880</v>
      </c>
      <c r="B9" s="6" t="s">
        <v>34</v>
      </c>
      <c r="C9" s="4">
        <v>27.650461</v>
      </c>
    </row>
    <row r="10" spans="1:3" x14ac:dyDescent="0.3">
      <c r="A10" s="28">
        <v>43880</v>
      </c>
      <c r="B10" s="6" t="s">
        <v>35</v>
      </c>
      <c r="C10" s="4">
        <v>27.5</v>
      </c>
    </row>
    <row r="11" spans="1:3" x14ac:dyDescent="0.3">
      <c r="A11" s="28">
        <v>43880</v>
      </c>
      <c r="B11" s="6" t="s">
        <v>36</v>
      </c>
      <c r="C11" s="4">
        <v>59.192298999999998</v>
      </c>
    </row>
    <row r="12" spans="1:3" x14ac:dyDescent="0.3">
      <c r="A12" s="28">
        <v>43881</v>
      </c>
      <c r="B12" s="6" t="s">
        <v>27</v>
      </c>
      <c r="C12" s="4">
        <v>28.51</v>
      </c>
    </row>
    <row r="13" spans="1:3" x14ac:dyDescent="0.3">
      <c r="A13" s="28">
        <v>43881</v>
      </c>
      <c r="B13" s="6" t="s">
        <v>28</v>
      </c>
      <c r="C13" s="4">
        <v>40.57</v>
      </c>
    </row>
    <row r="14" spans="1:3" x14ac:dyDescent="0.3">
      <c r="A14" s="28">
        <v>43881</v>
      </c>
      <c r="B14" s="6" t="s">
        <v>29</v>
      </c>
      <c r="C14" s="4">
        <v>121.209656</v>
      </c>
    </row>
    <row r="15" spans="1:3" x14ac:dyDescent="0.3">
      <c r="A15" s="28">
        <v>43881</v>
      </c>
      <c r="B15" s="6" t="s">
        <v>30</v>
      </c>
      <c r="C15" s="4">
        <v>56.721699000000001</v>
      </c>
    </row>
    <row r="16" spans="1:3" x14ac:dyDescent="0.3">
      <c r="A16" s="28">
        <v>43881</v>
      </c>
      <c r="B16" s="6" t="s">
        <v>31</v>
      </c>
      <c r="C16" s="4">
        <v>7.1665590000000003</v>
      </c>
    </row>
    <row r="17" spans="1:3" x14ac:dyDescent="0.3">
      <c r="A17" s="28">
        <v>43881</v>
      </c>
      <c r="B17" s="6" t="s">
        <v>32</v>
      </c>
      <c r="C17" s="4">
        <v>14.81</v>
      </c>
    </row>
    <row r="18" spans="1:3" x14ac:dyDescent="0.3">
      <c r="A18" s="28">
        <v>43881</v>
      </c>
      <c r="B18" s="6" t="s">
        <v>33</v>
      </c>
      <c r="C18" s="4">
        <v>36.416882000000001</v>
      </c>
    </row>
    <row r="19" spans="1:3" x14ac:dyDescent="0.3">
      <c r="A19" s="28">
        <v>43881</v>
      </c>
      <c r="B19" s="6" t="s">
        <v>34</v>
      </c>
      <c r="C19" s="4">
        <v>28.409763000000002</v>
      </c>
    </row>
    <row r="20" spans="1:3" x14ac:dyDescent="0.3">
      <c r="A20" s="28">
        <v>43881</v>
      </c>
      <c r="B20" s="6" t="s">
        <v>35</v>
      </c>
      <c r="C20" s="4">
        <v>27.49</v>
      </c>
    </row>
    <row r="21" spans="1:3" x14ac:dyDescent="0.3">
      <c r="A21" s="28">
        <v>43881</v>
      </c>
      <c r="B21" s="6" t="s">
        <v>36</v>
      </c>
      <c r="C21" s="4">
        <v>58.721432</v>
      </c>
    </row>
    <row r="22" spans="1:3" x14ac:dyDescent="0.3">
      <c r="A22" s="28">
        <v>43882</v>
      </c>
      <c r="B22" s="6" t="s">
        <v>27</v>
      </c>
      <c r="C22" s="4">
        <v>27.82</v>
      </c>
    </row>
    <row r="23" spans="1:3" x14ac:dyDescent="0.3">
      <c r="A23" s="28">
        <v>43882</v>
      </c>
      <c r="B23" s="6" t="s">
        <v>28</v>
      </c>
      <c r="C23" s="4">
        <v>40.029998999999997</v>
      </c>
    </row>
    <row r="24" spans="1:3" x14ac:dyDescent="0.3">
      <c r="A24" s="28">
        <v>43882</v>
      </c>
      <c r="B24" s="6" t="s">
        <v>29</v>
      </c>
      <c r="C24" s="4">
        <v>119.675354</v>
      </c>
    </row>
    <row r="25" spans="1:3" x14ac:dyDescent="0.3">
      <c r="A25" s="28">
        <v>43882</v>
      </c>
      <c r="B25" s="6" t="s">
        <v>30</v>
      </c>
      <c r="C25" s="4">
        <v>56.313271</v>
      </c>
    </row>
    <row r="26" spans="1:3" x14ac:dyDescent="0.3">
      <c r="A26" s="28">
        <v>43882</v>
      </c>
      <c r="B26" s="6" t="s">
        <v>31</v>
      </c>
      <c r="C26" s="4">
        <v>7.0505380000000004</v>
      </c>
    </row>
    <row r="27" spans="1:3" x14ac:dyDescent="0.3">
      <c r="A27" s="28">
        <v>43882</v>
      </c>
      <c r="B27" s="6" t="s">
        <v>32</v>
      </c>
      <c r="C27" s="4">
        <v>14.25</v>
      </c>
    </row>
    <row r="28" spans="1:3" x14ac:dyDescent="0.3">
      <c r="A28" s="28">
        <v>43882</v>
      </c>
      <c r="B28" s="6" t="s">
        <v>33</v>
      </c>
      <c r="C28" s="4">
        <v>37.045921</v>
      </c>
    </row>
    <row r="29" spans="1:3" x14ac:dyDescent="0.3">
      <c r="A29" s="28">
        <v>43882</v>
      </c>
      <c r="B29" s="6" t="s">
        <v>34</v>
      </c>
      <c r="C29" s="4">
        <v>27.601154000000001</v>
      </c>
    </row>
    <row r="30" spans="1:3" x14ac:dyDescent="0.3">
      <c r="A30" s="28">
        <v>43882</v>
      </c>
      <c r="B30" s="6" t="s">
        <v>35</v>
      </c>
      <c r="C30" s="4">
        <v>28.440000999999999</v>
      </c>
    </row>
    <row r="31" spans="1:3" x14ac:dyDescent="0.3">
      <c r="A31" s="28">
        <v>43882</v>
      </c>
      <c r="B31" s="6" t="s">
        <v>36</v>
      </c>
      <c r="C31" s="4">
        <v>58.005313999999998</v>
      </c>
    </row>
    <row r="32" spans="1:3" x14ac:dyDescent="0.3">
      <c r="A32" s="28">
        <v>43885</v>
      </c>
      <c r="B32" s="6" t="s">
        <v>27</v>
      </c>
      <c r="C32" s="4">
        <v>25.450001</v>
      </c>
    </row>
    <row r="33" spans="1:3" x14ac:dyDescent="0.3">
      <c r="A33" s="28">
        <v>43885</v>
      </c>
      <c r="B33" s="6" t="s">
        <v>28</v>
      </c>
      <c r="C33" s="4">
        <v>38.740001999999997</v>
      </c>
    </row>
    <row r="34" spans="1:3" x14ac:dyDescent="0.3">
      <c r="A34" s="28">
        <v>43885</v>
      </c>
      <c r="B34" s="6" t="s">
        <v>29</v>
      </c>
      <c r="C34" s="4">
        <v>111.89426400000001</v>
      </c>
    </row>
    <row r="35" spans="1:3" x14ac:dyDescent="0.3">
      <c r="A35" s="28">
        <v>43885</v>
      </c>
      <c r="B35" s="6" t="s">
        <v>30</v>
      </c>
      <c r="C35" s="4">
        <v>53.902549999999998</v>
      </c>
    </row>
    <row r="36" spans="1:3" x14ac:dyDescent="0.3">
      <c r="A36" s="28">
        <v>43885</v>
      </c>
      <c r="B36" s="6" t="s">
        <v>31</v>
      </c>
      <c r="C36" s="4">
        <v>6.9166670000000003</v>
      </c>
    </row>
    <row r="37" spans="1:3" x14ac:dyDescent="0.3">
      <c r="A37" s="28">
        <v>43885</v>
      </c>
      <c r="B37" s="6" t="s">
        <v>32</v>
      </c>
      <c r="C37" s="4">
        <v>13.48</v>
      </c>
    </row>
    <row r="38" spans="1:3" x14ac:dyDescent="0.3">
      <c r="A38" s="28">
        <v>43885</v>
      </c>
      <c r="B38" s="6" t="s">
        <v>33</v>
      </c>
      <c r="C38" s="4">
        <v>36.920116</v>
      </c>
    </row>
    <row r="39" spans="1:3" x14ac:dyDescent="0.3">
      <c r="A39" s="28">
        <v>43885</v>
      </c>
      <c r="B39" s="6" t="s">
        <v>34</v>
      </c>
      <c r="C39" s="4">
        <v>25.195050999999999</v>
      </c>
    </row>
    <row r="40" spans="1:3" x14ac:dyDescent="0.3">
      <c r="A40" s="28">
        <v>43885</v>
      </c>
      <c r="B40" s="6" t="s">
        <v>35</v>
      </c>
      <c r="C40" s="4">
        <v>27.92</v>
      </c>
    </row>
    <row r="41" spans="1:3" x14ac:dyDescent="0.3">
      <c r="A41" s="28">
        <v>43885</v>
      </c>
      <c r="B41" s="6" t="s">
        <v>36</v>
      </c>
      <c r="C41" s="4">
        <v>55.288001999999999</v>
      </c>
    </row>
    <row r="42" spans="1:3" x14ac:dyDescent="0.3">
      <c r="A42" s="28">
        <v>43886</v>
      </c>
      <c r="B42" s="6" t="s">
        <v>27</v>
      </c>
      <c r="C42" s="4">
        <v>23.120000999999998</v>
      </c>
    </row>
    <row r="43" spans="1:3" x14ac:dyDescent="0.3">
      <c r="A43" s="28">
        <v>43886</v>
      </c>
      <c r="B43" s="6" t="s">
        <v>28</v>
      </c>
      <c r="C43" s="4">
        <v>37.540000999999997</v>
      </c>
    </row>
    <row r="44" spans="1:3" x14ac:dyDescent="0.3">
      <c r="A44" s="28">
        <v>43886</v>
      </c>
      <c r="B44" s="6" t="s">
        <v>29</v>
      </c>
      <c r="C44" s="4">
        <v>108.506851</v>
      </c>
    </row>
    <row r="45" spans="1:3" x14ac:dyDescent="0.3">
      <c r="A45" s="28">
        <v>43886</v>
      </c>
      <c r="B45" s="6" t="s">
        <v>30</v>
      </c>
      <c r="C45" s="4">
        <v>49.469608000000001</v>
      </c>
    </row>
    <row r="46" spans="1:3" x14ac:dyDescent="0.3">
      <c r="A46" s="28">
        <v>43886</v>
      </c>
      <c r="B46" s="6" t="s">
        <v>31</v>
      </c>
      <c r="C46" s="4">
        <v>6.7649460000000001</v>
      </c>
    </row>
    <row r="47" spans="1:3" x14ac:dyDescent="0.3">
      <c r="A47" s="28">
        <v>43886</v>
      </c>
      <c r="B47" s="6" t="s">
        <v>32</v>
      </c>
      <c r="C47" s="4">
        <v>13.02</v>
      </c>
    </row>
    <row r="48" spans="1:3" x14ac:dyDescent="0.3">
      <c r="A48" s="28">
        <v>43886</v>
      </c>
      <c r="B48" s="6" t="s">
        <v>33</v>
      </c>
      <c r="C48" s="4">
        <v>35.855575999999999</v>
      </c>
    </row>
    <row r="49" spans="1:3" x14ac:dyDescent="0.3">
      <c r="A49" s="28">
        <v>43886</v>
      </c>
      <c r="B49" s="6" t="s">
        <v>34</v>
      </c>
      <c r="C49" s="4">
        <v>24.011723</v>
      </c>
    </row>
    <row r="50" spans="1:3" x14ac:dyDescent="0.3">
      <c r="A50" s="28">
        <v>43886</v>
      </c>
      <c r="B50" s="6" t="s">
        <v>35</v>
      </c>
      <c r="C50" s="4">
        <v>26.75</v>
      </c>
    </row>
    <row r="51" spans="1:3" x14ac:dyDescent="0.3">
      <c r="A51" s="28">
        <v>43886</v>
      </c>
      <c r="B51" s="6" t="s">
        <v>36</v>
      </c>
      <c r="C51" s="4">
        <v>53.169086</v>
      </c>
    </row>
    <row r="52" spans="1:3" x14ac:dyDescent="0.3">
      <c r="A52" s="28">
        <v>43887</v>
      </c>
      <c r="B52" s="6" t="s">
        <v>27</v>
      </c>
      <c r="C52" s="4">
        <v>22.309999000000001</v>
      </c>
    </row>
    <row r="53" spans="1:3" x14ac:dyDescent="0.3">
      <c r="A53" s="28">
        <v>43887</v>
      </c>
      <c r="B53" s="6" t="s">
        <v>28</v>
      </c>
      <c r="C53" s="4">
        <v>37.259998000000003</v>
      </c>
    </row>
    <row r="54" spans="1:3" x14ac:dyDescent="0.3">
      <c r="A54" s="28">
        <v>43887</v>
      </c>
      <c r="B54" s="6" t="s">
        <v>29</v>
      </c>
      <c r="C54" s="4">
        <v>100.81543000000001</v>
      </c>
    </row>
    <row r="55" spans="1:3" x14ac:dyDescent="0.3">
      <c r="A55" s="28">
        <v>43887</v>
      </c>
      <c r="B55" s="6" t="s">
        <v>30</v>
      </c>
      <c r="C55" s="4">
        <v>48.712524000000002</v>
      </c>
    </row>
    <row r="56" spans="1:3" x14ac:dyDescent="0.3">
      <c r="A56" s="28">
        <v>43887</v>
      </c>
      <c r="B56" s="6" t="s">
        <v>31</v>
      </c>
      <c r="C56" s="4">
        <v>6.711398</v>
      </c>
    </row>
    <row r="57" spans="1:3" x14ac:dyDescent="0.3">
      <c r="A57" s="28">
        <v>43887</v>
      </c>
      <c r="B57" s="6" t="s">
        <v>32</v>
      </c>
      <c r="C57" s="4">
        <v>12.71</v>
      </c>
    </row>
    <row r="58" spans="1:3" x14ac:dyDescent="0.3">
      <c r="A58" s="28">
        <v>43887</v>
      </c>
      <c r="B58" s="6" t="s">
        <v>33</v>
      </c>
      <c r="C58" s="4">
        <v>35.23621</v>
      </c>
    </row>
    <row r="59" spans="1:3" x14ac:dyDescent="0.3">
      <c r="A59" s="28">
        <v>43887</v>
      </c>
      <c r="B59" s="6" t="s">
        <v>34</v>
      </c>
      <c r="C59" s="4">
        <v>23.193254</v>
      </c>
    </row>
    <row r="60" spans="1:3" x14ac:dyDescent="0.3">
      <c r="A60" s="28">
        <v>43887</v>
      </c>
      <c r="B60" s="6" t="s">
        <v>35</v>
      </c>
      <c r="C60" s="4">
        <v>26.610001</v>
      </c>
    </row>
    <row r="61" spans="1:3" x14ac:dyDescent="0.3">
      <c r="A61" s="28">
        <v>43887</v>
      </c>
      <c r="B61" s="6" t="s">
        <v>36</v>
      </c>
      <c r="C61" s="4">
        <v>52.001719999999999</v>
      </c>
    </row>
    <row r="62" spans="1:3" x14ac:dyDescent="0.3">
      <c r="A62" s="28">
        <v>43888</v>
      </c>
      <c r="B62" s="6" t="s">
        <v>27</v>
      </c>
      <c r="C62" s="4">
        <v>20.6</v>
      </c>
    </row>
    <row r="63" spans="1:3" x14ac:dyDescent="0.3">
      <c r="A63" s="28">
        <v>43888</v>
      </c>
      <c r="B63" s="6" t="s">
        <v>28</v>
      </c>
      <c r="C63" s="4">
        <v>39.009998000000003</v>
      </c>
    </row>
    <row r="64" spans="1:3" x14ac:dyDescent="0.3">
      <c r="A64" s="28">
        <v>43888</v>
      </c>
      <c r="B64" s="6" t="s">
        <v>29</v>
      </c>
      <c r="C64" s="4">
        <v>98.344604000000004</v>
      </c>
    </row>
    <row r="65" spans="1:3" x14ac:dyDescent="0.3">
      <c r="A65" s="28">
        <v>43888</v>
      </c>
      <c r="B65" s="6" t="s">
        <v>30</v>
      </c>
      <c r="C65" s="4">
        <v>46.451225000000001</v>
      </c>
    </row>
    <row r="66" spans="1:3" x14ac:dyDescent="0.3">
      <c r="A66" s="28">
        <v>43888</v>
      </c>
      <c r="B66" s="6" t="s">
        <v>31</v>
      </c>
      <c r="C66" s="4">
        <v>6.5150540000000001</v>
      </c>
    </row>
    <row r="67" spans="1:3" x14ac:dyDescent="0.3">
      <c r="A67" s="28">
        <v>43888</v>
      </c>
      <c r="B67" s="6" t="s">
        <v>32</v>
      </c>
      <c r="C67" s="4">
        <v>12.2</v>
      </c>
    </row>
    <row r="68" spans="1:3" x14ac:dyDescent="0.3">
      <c r="A68" s="28">
        <v>43888</v>
      </c>
      <c r="B68" s="6" t="s">
        <v>33</v>
      </c>
      <c r="C68" s="4">
        <v>32.400669000000001</v>
      </c>
    </row>
    <row r="69" spans="1:3" x14ac:dyDescent="0.3">
      <c r="A69" s="28">
        <v>43888</v>
      </c>
      <c r="B69" s="6" t="s">
        <v>34</v>
      </c>
      <c r="C69" s="4">
        <v>22.631171999999999</v>
      </c>
    </row>
    <row r="70" spans="1:3" x14ac:dyDescent="0.3">
      <c r="A70" s="28">
        <v>43888</v>
      </c>
      <c r="B70" s="6" t="s">
        <v>35</v>
      </c>
      <c r="C70" s="4">
        <v>26.219999000000001</v>
      </c>
    </row>
    <row r="71" spans="1:3" x14ac:dyDescent="0.3">
      <c r="A71" s="28">
        <v>43888</v>
      </c>
      <c r="B71" s="6" t="s">
        <v>36</v>
      </c>
      <c r="C71" s="4">
        <v>48.872394999999997</v>
      </c>
    </row>
    <row r="72" spans="1:3" x14ac:dyDescent="0.3">
      <c r="A72" s="28">
        <v>43889</v>
      </c>
      <c r="B72" s="6" t="s">
        <v>27</v>
      </c>
      <c r="C72" s="4">
        <v>19.049999</v>
      </c>
    </row>
    <row r="73" spans="1:3" x14ac:dyDescent="0.3">
      <c r="A73" s="28">
        <v>43889</v>
      </c>
      <c r="B73" s="6" t="s">
        <v>28</v>
      </c>
      <c r="C73" s="4">
        <v>39.209999000000003</v>
      </c>
    </row>
    <row r="74" spans="1:3" x14ac:dyDescent="0.3">
      <c r="A74" s="28">
        <v>43889</v>
      </c>
      <c r="B74" s="6" t="s">
        <v>29</v>
      </c>
      <c r="C74" s="4">
        <v>98.254943999999995</v>
      </c>
    </row>
    <row r="75" spans="1:3" x14ac:dyDescent="0.3">
      <c r="A75" s="28">
        <v>43889</v>
      </c>
      <c r="B75" s="6" t="s">
        <v>30</v>
      </c>
      <c r="C75" s="4">
        <v>46.012912999999998</v>
      </c>
    </row>
    <row r="76" spans="1:3" x14ac:dyDescent="0.3">
      <c r="A76" s="28">
        <v>43889</v>
      </c>
      <c r="B76" s="6" t="s">
        <v>31</v>
      </c>
      <c r="C76" s="4">
        <v>6.4525800000000002</v>
      </c>
    </row>
    <row r="77" spans="1:3" x14ac:dyDescent="0.3">
      <c r="A77" s="28">
        <v>43889</v>
      </c>
      <c r="B77" s="6" t="s">
        <v>32</v>
      </c>
      <c r="C77" s="4">
        <v>12.35</v>
      </c>
    </row>
    <row r="78" spans="1:3" x14ac:dyDescent="0.3">
      <c r="A78" s="28">
        <v>43889</v>
      </c>
      <c r="B78" s="6" t="s">
        <v>33</v>
      </c>
      <c r="C78" s="4">
        <v>31.800654999999999</v>
      </c>
    </row>
    <row r="79" spans="1:3" x14ac:dyDescent="0.3">
      <c r="A79" s="28">
        <v>43889</v>
      </c>
      <c r="B79" s="6" t="s">
        <v>34</v>
      </c>
      <c r="C79" s="4">
        <v>23.124226</v>
      </c>
    </row>
    <row r="80" spans="1:3" x14ac:dyDescent="0.3">
      <c r="A80" s="28">
        <v>43889</v>
      </c>
      <c r="B80" s="6" t="s">
        <v>35</v>
      </c>
      <c r="C80" s="4">
        <v>27.02</v>
      </c>
    </row>
    <row r="81" spans="1:3" x14ac:dyDescent="0.3">
      <c r="A81" s="28">
        <v>43889</v>
      </c>
      <c r="B81" s="6" t="s">
        <v>36</v>
      </c>
      <c r="C81" s="4">
        <v>50.461582</v>
      </c>
    </row>
    <row r="82" spans="1:3" x14ac:dyDescent="0.3">
      <c r="A82" s="28">
        <v>43892</v>
      </c>
      <c r="B82" s="6" t="s">
        <v>27</v>
      </c>
      <c r="C82" s="4">
        <v>18.860001</v>
      </c>
    </row>
    <row r="83" spans="1:3" x14ac:dyDescent="0.3">
      <c r="A83" s="28">
        <v>43892</v>
      </c>
      <c r="B83" s="6" t="s">
        <v>28</v>
      </c>
      <c r="C83" s="4">
        <v>40.75</v>
      </c>
    </row>
    <row r="84" spans="1:3" x14ac:dyDescent="0.3">
      <c r="A84" s="28">
        <v>43892</v>
      </c>
      <c r="B84" s="6" t="s">
        <v>29</v>
      </c>
      <c r="C84" s="4">
        <v>96.371941000000007</v>
      </c>
    </row>
    <row r="85" spans="1:3" x14ac:dyDescent="0.3">
      <c r="A85" s="28">
        <v>43892</v>
      </c>
      <c r="B85" s="6" t="s">
        <v>30</v>
      </c>
      <c r="C85" s="4">
        <v>46.77</v>
      </c>
    </row>
    <row r="86" spans="1:3" x14ac:dyDescent="0.3">
      <c r="A86" s="28">
        <v>43892</v>
      </c>
      <c r="B86" s="6" t="s">
        <v>31</v>
      </c>
      <c r="C86" s="4">
        <v>6.7827950000000001</v>
      </c>
    </row>
    <row r="87" spans="1:3" x14ac:dyDescent="0.3">
      <c r="A87" s="28">
        <v>43892</v>
      </c>
      <c r="B87" s="6" t="s">
        <v>32</v>
      </c>
      <c r="C87" s="4">
        <v>12.45</v>
      </c>
    </row>
    <row r="88" spans="1:3" x14ac:dyDescent="0.3">
      <c r="A88" s="28">
        <v>43892</v>
      </c>
      <c r="B88" s="6" t="s">
        <v>33</v>
      </c>
      <c r="C88" s="4">
        <v>32.661963999999998</v>
      </c>
    </row>
    <row r="89" spans="1:3" x14ac:dyDescent="0.3">
      <c r="A89" s="28">
        <v>43892</v>
      </c>
      <c r="B89" s="6" t="s">
        <v>34</v>
      </c>
      <c r="C89" s="4">
        <v>23.360890999999999</v>
      </c>
    </row>
    <row r="90" spans="1:3" x14ac:dyDescent="0.3">
      <c r="A90" s="28">
        <v>43892</v>
      </c>
      <c r="B90" s="6" t="s">
        <v>35</v>
      </c>
      <c r="C90" s="4">
        <v>27.209999</v>
      </c>
    </row>
    <row r="91" spans="1:3" x14ac:dyDescent="0.3">
      <c r="A91" s="28">
        <v>43892</v>
      </c>
      <c r="B91" s="6" t="s">
        <v>36</v>
      </c>
      <c r="C91" s="4">
        <v>52.855175000000003</v>
      </c>
    </row>
    <row r="92" spans="1:3" x14ac:dyDescent="0.3">
      <c r="A92" s="28">
        <v>43893</v>
      </c>
      <c r="B92" s="6" t="s">
        <v>27</v>
      </c>
      <c r="C92" s="4">
        <v>17.850000000000001</v>
      </c>
    </row>
    <row r="93" spans="1:3" x14ac:dyDescent="0.3">
      <c r="A93" s="28">
        <v>43893</v>
      </c>
      <c r="B93" s="6" t="s">
        <v>28</v>
      </c>
      <c r="C93" s="4">
        <v>39.259998000000003</v>
      </c>
    </row>
    <row r="94" spans="1:3" x14ac:dyDescent="0.3">
      <c r="A94" s="28">
        <v>43893</v>
      </c>
      <c r="B94" s="6" t="s">
        <v>29</v>
      </c>
      <c r="C94" s="4">
        <v>94.837638999999996</v>
      </c>
    </row>
    <row r="95" spans="1:3" x14ac:dyDescent="0.3">
      <c r="A95" s="28">
        <v>43893</v>
      </c>
      <c r="B95" s="6" t="s">
        <v>30</v>
      </c>
      <c r="C95" s="4">
        <v>45.209999000000003</v>
      </c>
    </row>
    <row r="96" spans="1:3" x14ac:dyDescent="0.3">
      <c r="A96" s="28">
        <v>43893</v>
      </c>
      <c r="B96" s="6" t="s">
        <v>31</v>
      </c>
      <c r="C96" s="4">
        <v>6.64</v>
      </c>
    </row>
    <row r="97" spans="1:3" x14ac:dyDescent="0.3">
      <c r="A97" s="28">
        <v>43893</v>
      </c>
      <c r="B97" s="6" t="s">
        <v>32</v>
      </c>
      <c r="C97" s="4">
        <v>12.07</v>
      </c>
    </row>
    <row r="98" spans="1:3" x14ac:dyDescent="0.3">
      <c r="A98" s="28">
        <v>43893</v>
      </c>
      <c r="B98" s="6" t="s">
        <v>33</v>
      </c>
      <c r="C98" s="4">
        <v>32.207115000000002</v>
      </c>
    </row>
    <row r="99" spans="1:3" x14ac:dyDescent="0.3">
      <c r="A99" s="28">
        <v>43893</v>
      </c>
      <c r="B99" s="6" t="s">
        <v>34</v>
      </c>
      <c r="C99" s="4">
        <v>23.035477</v>
      </c>
    </row>
    <row r="100" spans="1:3" x14ac:dyDescent="0.3">
      <c r="A100" s="28">
        <v>43893</v>
      </c>
      <c r="B100" s="6" t="s">
        <v>35</v>
      </c>
      <c r="C100" s="4">
        <v>26.92</v>
      </c>
    </row>
    <row r="101" spans="1:3" x14ac:dyDescent="0.3">
      <c r="A101" s="28">
        <v>43893</v>
      </c>
      <c r="B101" s="6" t="s">
        <v>36</v>
      </c>
      <c r="C101" s="4">
        <v>50.324244999999998</v>
      </c>
    </row>
    <row r="102" spans="1:3" x14ac:dyDescent="0.3">
      <c r="A102" s="28">
        <v>43894</v>
      </c>
      <c r="B102" s="6" t="s">
        <v>27</v>
      </c>
      <c r="C102" s="4">
        <v>18.530000999999999</v>
      </c>
    </row>
    <row r="103" spans="1:3" x14ac:dyDescent="0.3">
      <c r="A103" s="28">
        <v>43894</v>
      </c>
      <c r="B103" s="6" t="s">
        <v>28</v>
      </c>
      <c r="C103" s="4">
        <v>39.790000999999997</v>
      </c>
    </row>
    <row r="104" spans="1:3" x14ac:dyDescent="0.3">
      <c r="A104" s="28">
        <v>43894</v>
      </c>
      <c r="B104" s="6" t="s">
        <v>29</v>
      </c>
      <c r="C104" s="4">
        <v>96.780417999999997</v>
      </c>
    </row>
    <row r="105" spans="1:3" x14ac:dyDescent="0.3">
      <c r="A105" s="28">
        <v>43894</v>
      </c>
      <c r="B105" s="6" t="s">
        <v>30</v>
      </c>
      <c r="C105" s="4">
        <v>46.93</v>
      </c>
    </row>
    <row r="106" spans="1:3" x14ac:dyDescent="0.3">
      <c r="A106" s="28">
        <v>43894</v>
      </c>
      <c r="B106" s="6" t="s">
        <v>31</v>
      </c>
      <c r="C106" s="4">
        <v>6.7649460000000001</v>
      </c>
    </row>
    <row r="107" spans="1:3" x14ac:dyDescent="0.3">
      <c r="A107" s="28">
        <v>43894</v>
      </c>
      <c r="B107" s="6" t="s">
        <v>32</v>
      </c>
      <c r="C107" s="4">
        <v>12.15</v>
      </c>
    </row>
    <row r="108" spans="1:3" x14ac:dyDescent="0.3">
      <c r="A108" s="28">
        <v>43894</v>
      </c>
      <c r="B108" s="6" t="s">
        <v>33</v>
      </c>
      <c r="C108" s="4">
        <v>32.961970999999998</v>
      </c>
    </row>
    <row r="109" spans="1:3" x14ac:dyDescent="0.3">
      <c r="A109" s="28">
        <v>43894</v>
      </c>
      <c r="B109" s="6" t="s">
        <v>34</v>
      </c>
      <c r="C109" s="4">
        <v>23.992000999999998</v>
      </c>
    </row>
    <row r="110" spans="1:3" x14ac:dyDescent="0.3">
      <c r="A110" s="28">
        <v>43894</v>
      </c>
      <c r="B110" s="6" t="s">
        <v>35</v>
      </c>
      <c r="C110" s="4">
        <v>27.799999</v>
      </c>
    </row>
    <row r="111" spans="1:3" x14ac:dyDescent="0.3">
      <c r="A111" s="28">
        <v>43894</v>
      </c>
      <c r="B111" s="6" t="s">
        <v>36</v>
      </c>
      <c r="C111" s="4">
        <v>51.422939</v>
      </c>
    </row>
    <row r="112" spans="1:3" x14ac:dyDescent="0.3">
      <c r="A112" s="28">
        <v>43895</v>
      </c>
      <c r="B112" s="6" t="s">
        <v>27</v>
      </c>
      <c r="C112" s="4">
        <v>16.040001</v>
      </c>
    </row>
    <row r="113" spans="1:3" x14ac:dyDescent="0.3">
      <c r="A113" s="28">
        <v>43895</v>
      </c>
      <c r="B113" s="6" t="s">
        <v>28</v>
      </c>
      <c r="C113" s="4">
        <v>38.959999000000003</v>
      </c>
    </row>
    <row r="114" spans="1:3" x14ac:dyDescent="0.3">
      <c r="A114" s="28">
        <v>43895</v>
      </c>
      <c r="B114" s="6" t="s">
        <v>29</v>
      </c>
      <c r="C114" s="4">
        <v>91.171256999999997</v>
      </c>
    </row>
    <row r="115" spans="1:3" x14ac:dyDescent="0.3">
      <c r="A115" s="28">
        <v>43895</v>
      </c>
      <c r="B115" s="6" t="s">
        <v>30</v>
      </c>
      <c r="C115" s="4">
        <v>45.25</v>
      </c>
    </row>
    <row r="116" spans="1:3" x14ac:dyDescent="0.3">
      <c r="A116" s="28">
        <v>43895</v>
      </c>
      <c r="B116" s="6" t="s">
        <v>31</v>
      </c>
      <c r="C116" s="4">
        <v>6.6935479999999998</v>
      </c>
    </row>
    <row r="117" spans="1:3" x14ac:dyDescent="0.3">
      <c r="A117" s="28">
        <v>43895</v>
      </c>
      <c r="B117" s="6" t="s">
        <v>32</v>
      </c>
      <c r="C117" s="4">
        <v>10.56</v>
      </c>
    </row>
    <row r="118" spans="1:3" x14ac:dyDescent="0.3">
      <c r="A118" s="28">
        <v>43895</v>
      </c>
      <c r="B118" s="6" t="s">
        <v>33</v>
      </c>
      <c r="C118" s="4">
        <v>32.013565</v>
      </c>
    </row>
    <row r="119" spans="1:3" x14ac:dyDescent="0.3">
      <c r="A119" s="28">
        <v>43895</v>
      </c>
      <c r="B119" s="6" t="s">
        <v>34</v>
      </c>
      <c r="C119" s="4">
        <v>22.219999000000001</v>
      </c>
    </row>
    <row r="120" spans="1:3" x14ac:dyDescent="0.3">
      <c r="A120" s="28">
        <v>43895</v>
      </c>
      <c r="B120" s="6" t="s">
        <v>35</v>
      </c>
      <c r="C120" s="4">
        <v>28.389999</v>
      </c>
    </row>
    <row r="121" spans="1:3" x14ac:dyDescent="0.3">
      <c r="A121" s="28">
        <v>43895</v>
      </c>
      <c r="B121" s="6" t="s">
        <v>36</v>
      </c>
      <c r="C121" s="4">
        <v>49.156879000000004</v>
      </c>
    </row>
    <row r="122" spans="1:3" x14ac:dyDescent="0.3">
      <c r="A122" s="28">
        <v>43896</v>
      </c>
      <c r="B122" s="6" t="s">
        <v>27</v>
      </c>
      <c r="C122" s="4">
        <v>15.97</v>
      </c>
    </row>
    <row r="123" spans="1:3" x14ac:dyDescent="0.3">
      <c r="A123" s="28">
        <v>43896</v>
      </c>
      <c r="B123" s="6" t="s">
        <v>28</v>
      </c>
      <c r="C123" s="4">
        <v>39.159999999999997</v>
      </c>
    </row>
    <row r="124" spans="1:3" x14ac:dyDescent="0.3">
      <c r="A124" s="28">
        <v>43896</v>
      </c>
      <c r="B124" s="6" t="s">
        <v>29</v>
      </c>
      <c r="C124" s="4">
        <v>91.510002</v>
      </c>
    </row>
    <row r="125" spans="1:3" x14ac:dyDescent="0.3">
      <c r="A125" s="28">
        <v>43896</v>
      </c>
      <c r="B125" s="6" t="s">
        <v>30</v>
      </c>
      <c r="C125" s="4">
        <v>45.73</v>
      </c>
    </row>
    <row r="126" spans="1:3" x14ac:dyDescent="0.3">
      <c r="A126" s="28">
        <v>43896</v>
      </c>
      <c r="B126" s="6" t="s">
        <v>31</v>
      </c>
      <c r="C126" s="4">
        <v>6.6043010000000004</v>
      </c>
    </row>
    <row r="127" spans="1:3" x14ac:dyDescent="0.3">
      <c r="A127" s="28">
        <v>43896</v>
      </c>
      <c r="B127" s="6" t="s">
        <v>32</v>
      </c>
      <c r="C127" s="4">
        <v>9.84</v>
      </c>
    </row>
    <row r="128" spans="1:3" x14ac:dyDescent="0.3">
      <c r="A128" s="28">
        <v>43896</v>
      </c>
      <c r="B128" s="6" t="s">
        <v>33</v>
      </c>
      <c r="C128" s="4">
        <v>31.065155000000001</v>
      </c>
    </row>
    <row r="129" spans="1:3" x14ac:dyDescent="0.3">
      <c r="A129" s="28">
        <v>43896</v>
      </c>
      <c r="B129" s="6" t="s">
        <v>34</v>
      </c>
      <c r="C129" s="4">
        <v>21.700001</v>
      </c>
    </row>
    <row r="130" spans="1:3" x14ac:dyDescent="0.3">
      <c r="A130" s="28">
        <v>43896</v>
      </c>
      <c r="B130" s="6" t="s">
        <v>35</v>
      </c>
      <c r="C130" s="4">
        <v>26.42</v>
      </c>
    </row>
    <row r="131" spans="1:3" x14ac:dyDescent="0.3">
      <c r="A131" s="28">
        <v>43896</v>
      </c>
      <c r="B131" s="6" t="s">
        <v>36</v>
      </c>
      <c r="C131" s="4">
        <v>46.782908999999997</v>
      </c>
    </row>
    <row r="132" spans="1:3" x14ac:dyDescent="0.3">
      <c r="A132" s="28">
        <v>43899</v>
      </c>
      <c r="B132" s="6" t="s">
        <v>27</v>
      </c>
      <c r="C132" s="4">
        <v>14.75</v>
      </c>
    </row>
    <row r="133" spans="1:3" x14ac:dyDescent="0.3">
      <c r="A133" s="28">
        <v>43899</v>
      </c>
      <c r="B133" s="6" t="s">
        <v>28</v>
      </c>
      <c r="C133" s="4">
        <v>37.290000999999997</v>
      </c>
    </row>
    <row r="134" spans="1:3" x14ac:dyDescent="0.3">
      <c r="A134" s="28">
        <v>43899</v>
      </c>
      <c r="B134" s="6" t="s">
        <v>29</v>
      </c>
      <c r="C134" s="4">
        <v>86.300003000000004</v>
      </c>
    </row>
    <row r="135" spans="1:3" x14ac:dyDescent="0.3">
      <c r="A135" s="28">
        <v>43899</v>
      </c>
      <c r="B135" s="6" t="s">
        <v>30</v>
      </c>
      <c r="C135" s="4">
        <v>43.619999</v>
      </c>
    </row>
    <row r="136" spans="1:3" x14ac:dyDescent="0.3">
      <c r="A136" s="28">
        <v>43899</v>
      </c>
      <c r="B136" s="6" t="s">
        <v>31</v>
      </c>
      <c r="C136" s="4">
        <v>6.3365590000000003</v>
      </c>
    </row>
    <row r="137" spans="1:3" x14ac:dyDescent="0.3">
      <c r="A137" s="28">
        <v>43899</v>
      </c>
      <c r="B137" s="6" t="s">
        <v>32</v>
      </c>
      <c r="C137" s="4">
        <v>5.31</v>
      </c>
    </row>
    <row r="138" spans="1:3" x14ac:dyDescent="0.3">
      <c r="A138" s="28">
        <v>43899</v>
      </c>
      <c r="B138" s="6" t="s">
        <v>33</v>
      </c>
      <c r="C138" s="4">
        <v>28.481231999999999</v>
      </c>
    </row>
    <row r="139" spans="1:3" x14ac:dyDescent="0.3">
      <c r="A139" s="28">
        <v>43899</v>
      </c>
      <c r="B139" s="6" t="s">
        <v>34</v>
      </c>
      <c r="C139" s="4">
        <v>18.43</v>
      </c>
    </row>
    <row r="140" spans="1:3" x14ac:dyDescent="0.3">
      <c r="A140" s="28">
        <v>43899</v>
      </c>
      <c r="B140" s="6" t="s">
        <v>35</v>
      </c>
      <c r="C140" s="4">
        <v>24.889999</v>
      </c>
    </row>
    <row r="141" spans="1:3" x14ac:dyDescent="0.3">
      <c r="A141" s="28">
        <v>43899</v>
      </c>
      <c r="B141" s="6" t="s">
        <v>36</v>
      </c>
      <c r="C141" s="4">
        <v>41.063800999999998</v>
      </c>
    </row>
    <row r="142" spans="1:3" x14ac:dyDescent="0.3">
      <c r="A142" s="28">
        <v>43900</v>
      </c>
      <c r="B142" s="6" t="s">
        <v>27</v>
      </c>
      <c r="C142" s="4">
        <v>17</v>
      </c>
    </row>
    <row r="143" spans="1:3" x14ac:dyDescent="0.3">
      <c r="A143" s="28">
        <v>43900</v>
      </c>
      <c r="B143" s="6" t="s">
        <v>28</v>
      </c>
      <c r="C143" s="4">
        <v>38.970001000000003</v>
      </c>
    </row>
    <row r="144" spans="1:3" x14ac:dyDescent="0.3">
      <c r="A144" s="28">
        <v>43900</v>
      </c>
      <c r="B144" s="6" t="s">
        <v>29</v>
      </c>
      <c r="C144" s="4">
        <v>85.93</v>
      </c>
    </row>
    <row r="145" spans="1:3" x14ac:dyDescent="0.3">
      <c r="A145" s="28">
        <v>43900</v>
      </c>
      <c r="B145" s="6" t="s">
        <v>30</v>
      </c>
      <c r="C145" s="4">
        <v>45.560001</v>
      </c>
    </row>
    <row r="146" spans="1:3" x14ac:dyDescent="0.3">
      <c r="A146" s="28">
        <v>43900</v>
      </c>
      <c r="B146" s="6" t="s">
        <v>31</v>
      </c>
      <c r="C146" s="4">
        <v>6.3990320000000001</v>
      </c>
    </row>
    <row r="147" spans="1:3" x14ac:dyDescent="0.3">
      <c r="A147" s="28">
        <v>43900</v>
      </c>
      <c r="B147" s="6" t="s">
        <v>32</v>
      </c>
      <c r="C147" s="4">
        <v>4.67</v>
      </c>
    </row>
    <row r="148" spans="1:3" x14ac:dyDescent="0.3">
      <c r="A148" s="28">
        <v>43900</v>
      </c>
      <c r="B148" s="6" t="s">
        <v>33</v>
      </c>
      <c r="C148" s="4">
        <v>29.642545999999999</v>
      </c>
    </row>
    <row r="149" spans="1:3" x14ac:dyDescent="0.3">
      <c r="A149" s="28">
        <v>43900</v>
      </c>
      <c r="B149" s="6" t="s">
        <v>34</v>
      </c>
      <c r="C149" s="4">
        <v>19.16</v>
      </c>
    </row>
    <row r="150" spans="1:3" x14ac:dyDescent="0.3">
      <c r="A150" s="28">
        <v>43900</v>
      </c>
      <c r="B150" s="6" t="s">
        <v>35</v>
      </c>
      <c r="C150" s="4">
        <v>25.059999000000001</v>
      </c>
    </row>
    <row r="151" spans="1:3" x14ac:dyDescent="0.3">
      <c r="A151" s="28">
        <v>43900</v>
      </c>
      <c r="B151" s="6" t="s">
        <v>36</v>
      </c>
      <c r="C151" s="4">
        <v>42.584316000000001</v>
      </c>
    </row>
    <row r="152" spans="1:3" x14ac:dyDescent="0.3">
      <c r="A152" s="28">
        <v>43901</v>
      </c>
      <c r="B152" s="6" t="s">
        <v>27</v>
      </c>
      <c r="C152" s="4">
        <v>16.260000000000002</v>
      </c>
    </row>
    <row r="153" spans="1:3" x14ac:dyDescent="0.3">
      <c r="A153" s="28">
        <v>43901</v>
      </c>
      <c r="B153" s="6" t="s">
        <v>28</v>
      </c>
      <c r="C153" s="4">
        <v>36.740001999999997</v>
      </c>
    </row>
    <row r="154" spans="1:3" x14ac:dyDescent="0.3">
      <c r="A154" s="28">
        <v>43901</v>
      </c>
      <c r="B154" s="6" t="s">
        <v>29</v>
      </c>
      <c r="C154" s="4">
        <v>76.669998000000007</v>
      </c>
    </row>
    <row r="155" spans="1:3" x14ac:dyDescent="0.3">
      <c r="A155" s="28">
        <v>43901</v>
      </c>
      <c r="B155" s="6" t="s">
        <v>30</v>
      </c>
      <c r="C155" s="4">
        <v>42.490001999999997</v>
      </c>
    </row>
    <row r="156" spans="1:3" x14ac:dyDescent="0.3">
      <c r="A156" s="28">
        <v>43901</v>
      </c>
      <c r="B156" s="6" t="s">
        <v>31</v>
      </c>
      <c r="C156" s="4">
        <v>6.1580640000000004</v>
      </c>
    </row>
    <row r="157" spans="1:3" x14ac:dyDescent="0.3">
      <c r="A157" s="28">
        <v>43901</v>
      </c>
      <c r="B157" s="6" t="s">
        <v>32</v>
      </c>
      <c r="C157" s="4">
        <v>3.46</v>
      </c>
    </row>
    <row r="158" spans="1:3" x14ac:dyDescent="0.3">
      <c r="A158" s="28">
        <v>43901</v>
      </c>
      <c r="B158" s="6" t="s">
        <v>33</v>
      </c>
      <c r="C158" s="4">
        <v>27.687667999999999</v>
      </c>
    </row>
    <row r="159" spans="1:3" x14ac:dyDescent="0.3">
      <c r="A159" s="28">
        <v>43901</v>
      </c>
      <c r="B159" s="6" t="s">
        <v>34</v>
      </c>
      <c r="C159" s="4">
        <v>17.57</v>
      </c>
    </row>
    <row r="160" spans="1:3" x14ac:dyDescent="0.3">
      <c r="A160" s="28">
        <v>43901</v>
      </c>
      <c r="B160" s="6" t="s">
        <v>35</v>
      </c>
      <c r="C160" s="4">
        <v>23.620000999999998</v>
      </c>
    </row>
    <row r="161" spans="1:3" x14ac:dyDescent="0.3">
      <c r="A161" s="28">
        <v>43901</v>
      </c>
      <c r="B161" s="6" t="s">
        <v>36</v>
      </c>
      <c r="C161" s="4">
        <v>41.181514999999997</v>
      </c>
    </row>
    <row r="162" spans="1:3" x14ac:dyDescent="0.3">
      <c r="A162" s="28">
        <v>43902</v>
      </c>
      <c r="B162" s="6" t="s">
        <v>27</v>
      </c>
      <c r="C162" s="4">
        <v>13.45</v>
      </c>
    </row>
    <row r="163" spans="1:3" x14ac:dyDescent="0.3">
      <c r="A163" s="28">
        <v>43902</v>
      </c>
      <c r="B163" s="6" t="s">
        <v>28</v>
      </c>
      <c r="C163" s="4">
        <v>36.799999</v>
      </c>
    </row>
    <row r="164" spans="1:3" x14ac:dyDescent="0.3">
      <c r="A164" s="28">
        <v>43902</v>
      </c>
      <c r="B164" s="6" t="s">
        <v>29</v>
      </c>
      <c r="C164" s="4">
        <v>65.040001000000004</v>
      </c>
    </row>
    <row r="165" spans="1:3" x14ac:dyDescent="0.3">
      <c r="A165" s="28">
        <v>43902</v>
      </c>
      <c r="B165" s="6" t="s">
        <v>30</v>
      </c>
      <c r="C165" s="4">
        <v>36.07</v>
      </c>
    </row>
    <row r="166" spans="1:3" x14ac:dyDescent="0.3">
      <c r="A166" s="28">
        <v>43902</v>
      </c>
      <c r="B166" s="6" t="s">
        <v>31</v>
      </c>
      <c r="C166" s="4">
        <v>5.3726880000000001</v>
      </c>
    </row>
    <row r="167" spans="1:3" x14ac:dyDescent="0.3">
      <c r="A167" s="28">
        <v>43902</v>
      </c>
      <c r="B167" s="6" t="s">
        <v>32</v>
      </c>
      <c r="C167" s="4">
        <v>2.74</v>
      </c>
    </row>
    <row r="168" spans="1:3" x14ac:dyDescent="0.3">
      <c r="A168" s="28">
        <v>43902</v>
      </c>
      <c r="B168" s="6" t="s">
        <v>33</v>
      </c>
      <c r="C168" s="4">
        <v>25.306974</v>
      </c>
    </row>
    <row r="169" spans="1:3" x14ac:dyDescent="0.3">
      <c r="A169" s="28">
        <v>43902</v>
      </c>
      <c r="B169" s="6" t="s">
        <v>34</v>
      </c>
      <c r="C169" s="4">
        <v>15.01</v>
      </c>
    </row>
    <row r="170" spans="1:3" x14ac:dyDescent="0.3">
      <c r="A170" s="28">
        <v>43902</v>
      </c>
      <c r="B170" s="6" t="s">
        <v>35</v>
      </c>
      <c r="C170" s="4">
        <v>21.35</v>
      </c>
    </row>
    <row r="171" spans="1:3" x14ac:dyDescent="0.3">
      <c r="A171" s="28">
        <v>43902</v>
      </c>
      <c r="B171" s="6" t="s">
        <v>36</v>
      </c>
      <c r="C171" s="4">
        <v>36.472816000000002</v>
      </c>
    </row>
    <row r="172" spans="1:3" x14ac:dyDescent="0.3">
      <c r="A172" s="28">
        <v>43903</v>
      </c>
      <c r="B172" s="6" t="s">
        <v>27</v>
      </c>
      <c r="C172" s="4">
        <v>14.31</v>
      </c>
    </row>
    <row r="173" spans="1:3" x14ac:dyDescent="0.3">
      <c r="A173" s="28">
        <v>43903</v>
      </c>
      <c r="B173" s="6" t="s">
        <v>28</v>
      </c>
      <c r="C173" s="4">
        <v>36.099997999999999</v>
      </c>
    </row>
    <row r="174" spans="1:3" x14ac:dyDescent="0.3">
      <c r="A174" s="28">
        <v>43903</v>
      </c>
      <c r="B174" s="6" t="s">
        <v>29</v>
      </c>
      <c r="C174" s="4">
        <v>69.629997000000003</v>
      </c>
    </row>
    <row r="175" spans="1:3" x14ac:dyDescent="0.3">
      <c r="A175" s="28">
        <v>43903</v>
      </c>
      <c r="B175" s="6" t="s">
        <v>30</v>
      </c>
      <c r="C175" s="4">
        <v>41.279998999999997</v>
      </c>
    </row>
    <row r="176" spans="1:3" x14ac:dyDescent="0.3">
      <c r="A176" s="28">
        <v>43903</v>
      </c>
      <c r="B176" s="6" t="s">
        <v>31</v>
      </c>
      <c r="C176" s="4">
        <v>5.4173119999999999</v>
      </c>
    </row>
    <row r="177" spans="1:3" x14ac:dyDescent="0.3">
      <c r="A177" s="28">
        <v>43903</v>
      </c>
      <c r="B177" s="6" t="s">
        <v>32</v>
      </c>
      <c r="C177" s="4">
        <v>3.45</v>
      </c>
    </row>
    <row r="178" spans="1:3" x14ac:dyDescent="0.3">
      <c r="A178" s="28">
        <v>43903</v>
      </c>
      <c r="B178" s="6" t="s">
        <v>33</v>
      </c>
      <c r="C178" s="4">
        <v>26.236027</v>
      </c>
    </row>
    <row r="179" spans="1:3" x14ac:dyDescent="0.3">
      <c r="A179" s="28">
        <v>43903</v>
      </c>
      <c r="B179" s="6" t="s">
        <v>34</v>
      </c>
      <c r="C179" s="4">
        <v>16.23</v>
      </c>
    </row>
    <row r="180" spans="1:3" x14ac:dyDescent="0.3">
      <c r="A180" s="28">
        <v>43903</v>
      </c>
      <c r="B180" s="6" t="s">
        <v>35</v>
      </c>
      <c r="C180" s="4">
        <v>19.59</v>
      </c>
    </row>
    <row r="181" spans="1:3" x14ac:dyDescent="0.3">
      <c r="A181" s="28">
        <v>43903</v>
      </c>
      <c r="B181" s="6" t="s">
        <v>36</v>
      </c>
      <c r="C181" s="4">
        <v>37.394936000000001</v>
      </c>
    </row>
    <row r="182" spans="1:3" x14ac:dyDescent="0.3">
      <c r="A182" s="28">
        <v>43906</v>
      </c>
      <c r="B182" s="6" t="s">
        <v>27</v>
      </c>
      <c r="C182" s="4">
        <v>15.92</v>
      </c>
    </row>
    <row r="183" spans="1:3" x14ac:dyDescent="0.3">
      <c r="A183" s="28">
        <v>43906</v>
      </c>
      <c r="B183" s="6" t="s">
        <v>28</v>
      </c>
      <c r="C183" s="4">
        <v>31.5</v>
      </c>
    </row>
    <row r="184" spans="1:3" x14ac:dyDescent="0.3">
      <c r="A184" s="28">
        <v>43906</v>
      </c>
      <c r="B184" s="6" t="s">
        <v>29</v>
      </c>
      <c r="C184" s="4">
        <v>54.700001</v>
      </c>
    </row>
    <row r="185" spans="1:3" x14ac:dyDescent="0.3">
      <c r="A185" s="28">
        <v>43906</v>
      </c>
      <c r="B185" s="6" t="s">
        <v>30</v>
      </c>
      <c r="C185" s="4">
        <v>37.520000000000003</v>
      </c>
    </row>
    <row r="186" spans="1:3" x14ac:dyDescent="0.3">
      <c r="A186" s="28">
        <v>43906</v>
      </c>
      <c r="B186" s="6" t="s">
        <v>31</v>
      </c>
      <c r="C186" s="4">
        <v>4.5516129999999997</v>
      </c>
    </row>
    <row r="187" spans="1:3" x14ac:dyDescent="0.3">
      <c r="A187" s="28">
        <v>43906</v>
      </c>
      <c r="B187" s="6" t="s">
        <v>32</v>
      </c>
      <c r="C187" s="4">
        <v>2.97</v>
      </c>
    </row>
    <row r="188" spans="1:3" x14ac:dyDescent="0.3">
      <c r="A188" s="28">
        <v>43906</v>
      </c>
      <c r="B188" s="6" t="s">
        <v>33</v>
      </c>
      <c r="C188" s="4">
        <v>17.806818</v>
      </c>
    </row>
    <row r="189" spans="1:3" x14ac:dyDescent="0.3">
      <c r="A189" s="28">
        <v>43906</v>
      </c>
      <c r="B189" s="6" t="s">
        <v>34</v>
      </c>
      <c r="C189" s="4">
        <v>11.48</v>
      </c>
    </row>
    <row r="190" spans="1:3" x14ac:dyDescent="0.3">
      <c r="A190" s="28">
        <v>43906</v>
      </c>
      <c r="B190" s="6" t="s">
        <v>35</v>
      </c>
      <c r="C190" s="4">
        <v>17.040001</v>
      </c>
    </row>
    <row r="191" spans="1:3" x14ac:dyDescent="0.3">
      <c r="A191" s="28">
        <v>43906</v>
      </c>
      <c r="B191" s="6" t="s">
        <v>36</v>
      </c>
      <c r="C191" s="4">
        <v>33.833984000000001</v>
      </c>
    </row>
    <row r="192" spans="1:3" x14ac:dyDescent="0.3">
      <c r="A192" s="28">
        <v>43907</v>
      </c>
      <c r="B192" s="6" t="s">
        <v>27</v>
      </c>
      <c r="C192" s="4">
        <v>15.58</v>
      </c>
    </row>
    <row r="193" spans="1:3" x14ac:dyDescent="0.3">
      <c r="A193" s="28">
        <v>43907</v>
      </c>
      <c r="B193" s="6" t="s">
        <v>28</v>
      </c>
      <c r="C193" s="4">
        <v>32.310001</v>
      </c>
    </row>
    <row r="194" spans="1:3" x14ac:dyDescent="0.3">
      <c r="A194" s="28">
        <v>43907</v>
      </c>
      <c r="B194" s="6" t="s">
        <v>29</v>
      </c>
      <c r="C194" s="4">
        <v>54.119999</v>
      </c>
    </row>
    <row r="195" spans="1:3" x14ac:dyDescent="0.3">
      <c r="A195" s="28">
        <v>43907</v>
      </c>
      <c r="B195" s="6" t="s">
        <v>30</v>
      </c>
      <c r="C195" s="4">
        <v>38.25</v>
      </c>
    </row>
    <row r="196" spans="1:3" x14ac:dyDescent="0.3">
      <c r="A196" s="28">
        <v>43907</v>
      </c>
      <c r="B196" s="6" t="s">
        <v>31</v>
      </c>
      <c r="C196" s="4">
        <v>3.7930109999999999</v>
      </c>
    </row>
    <row r="197" spans="1:3" x14ac:dyDescent="0.3">
      <c r="A197" s="28">
        <v>43907</v>
      </c>
      <c r="B197" s="6" t="s">
        <v>32</v>
      </c>
      <c r="C197" s="4">
        <v>2.5</v>
      </c>
    </row>
    <row r="198" spans="1:3" x14ac:dyDescent="0.3">
      <c r="A198" s="28">
        <v>43907</v>
      </c>
      <c r="B198" s="6" t="s">
        <v>33</v>
      </c>
      <c r="C198" s="4">
        <v>18.735872000000001</v>
      </c>
    </row>
    <row r="199" spans="1:3" x14ac:dyDescent="0.3">
      <c r="A199" s="28">
        <v>43907</v>
      </c>
      <c r="B199" s="6" t="s">
        <v>34</v>
      </c>
      <c r="C199" s="4">
        <v>13.19</v>
      </c>
    </row>
    <row r="200" spans="1:3" x14ac:dyDescent="0.3">
      <c r="A200" s="28">
        <v>43907</v>
      </c>
      <c r="B200" s="6" t="s">
        <v>35</v>
      </c>
      <c r="C200" s="4">
        <v>19.899999999999999</v>
      </c>
    </row>
    <row r="201" spans="1:3" x14ac:dyDescent="0.3">
      <c r="A201" s="28">
        <v>43907</v>
      </c>
      <c r="B201" s="6" t="s">
        <v>36</v>
      </c>
      <c r="C201" s="4">
        <v>36.109856000000001</v>
      </c>
    </row>
    <row r="202" spans="1:3" x14ac:dyDescent="0.3">
      <c r="A202" s="28">
        <v>43908</v>
      </c>
      <c r="B202" s="6" t="s">
        <v>27</v>
      </c>
      <c r="C202" s="4">
        <v>11.65</v>
      </c>
    </row>
    <row r="203" spans="1:3" x14ac:dyDescent="0.3">
      <c r="A203" s="28">
        <v>43908</v>
      </c>
      <c r="B203" s="6" t="s">
        <v>28</v>
      </c>
      <c r="C203" s="4">
        <v>27.709999</v>
      </c>
    </row>
    <row r="204" spans="1:3" x14ac:dyDescent="0.3">
      <c r="A204" s="28">
        <v>43908</v>
      </c>
      <c r="B204" s="6" t="s">
        <v>29</v>
      </c>
      <c r="C204" s="4">
        <v>45.650002000000001</v>
      </c>
    </row>
    <row r="205" spans="1:3" x14ac:dyDescent="0.3">
      <c r="A205" s="28">
        <v>43908</v>
      </c>
      <c r="B205" s="6" t="s">
        <v>30</v>
      </c>
      <c r="C205" s="4">
        <v>35.150002000000001</v>
      </c>
    </row>
    <row r="206" spans="1:3" x14ac:dyDescent="0.3">
      <c r="A206" s="28">
        <v>43908</v>
      </c>
      <c r="B206" s="6" t="s">
        <v>31</v>
      </c>
      <c r="C206" s="4">
        <v>3.2575270000000001</v>
      </c>
    </row>
    <row r="207" spans="1:3" x14ac:dyDescent="0.3">
      <c r="A207" s="28">
        <v>43908</v>
      </c>
      <c r="B207" s="6" t="s">
        <v>32</v>
      </c>
      <c r="C207" s="4">
        <v>2.2799999999999998</v>
      </c>
    </row>
    <row r="208" spans="1:3" x14ac:dyDescent="0.3">
      <c r="A208" s="28">
        <v>43908</v>
      </c>
      <c r="B208" s="6" t="s">
        <v>33</v>
      </c>
      <c r="C208" s="4">
        <v>14.768046</v>
      </c>
    </row>
    <row r="209" spans="1:3" x14ac:dyDescent="0.3">
      <c r="A209" s="28">
        <v>43908</v>
      </c>
      <c r="B209" s="6" t="s">
        <v>34</v>
      </c>
      <c r="C209" s="4">
        <v>13.36</v>
      </c>
    </row>
    <row r="210" spans="1:3" x14ac:dyDescent="0.3">
      <c r="A210" s="28">
        <v>43908</v>
      </c>
      <c r="B210" s="6" t="s">
        <v>35</v>
      </c>
      <c r="C210" s="4">
        <v>18.010000000000002</v>
      </c>
    </row>
    <row r="211" spans="1:3" x14ac:dyDescent="0.3">
      <c r="A211" s="28">
        <v>43908</v>
      </c>
      <c r="B211" s="6" t="s">
        <v>36</v>
      </c>
      <c r="C211" s="4">
        <v>32.49004</v>
      </c>
    </row>
    <row r="212" spans="1:3" x14ac:dyDescent="0.3">
      <c r="A212" s="28">
        <v>43909</v>
      </c>
      <c r="B212" s="6" t="s">
        <v>27</v>
      </c>
      <c r="C212" s="4">
        <v>10.29</v>
      </c>
    </row>
    <row r="213" spans="1:3" x14ac:dyDescent="0.3">
      <c r="A213" s="28">
        <v>43909</v>
      </c>
      <c r="B213" s="6" t="s">
        <v>28</v>
      </c>
      <c r="C213" s="4">
        <v>30</v>
      </c>
    </row>
    <row r="214" spans="1:3" x14ac:dyDescent="0.3">
      <c r="A214" s="28">
        <v>43909</v>
      </c>
      <c r="B214" s="6" t="s">
        <v>29</v>
      </c>
      <c r="C214" s="4">
        <v>48.43</v>
      </c>
    </row>
    <row r="215" spans="1:3" x14ac:dyDescent="0.3">
      <c r="A215" s="28">
        <v>43909</v>
      </c>
      <c r="B215" s="6" t="s">
        <v>30</v>
      </c>
      <c r="C215" s="4">
        <v>30.860001</v>
      </c>
    </row>
    <row r="216" spans="1:3" x14ac:dyDescent="0.3">
      <c r="A216" s="28">
        <v>43909</v>
      </c>
      <c r="B216" s="6" t="s">
        <v>31</v>
      </c>
      <c r="C216" s="4">
        <v>3.2575270000000001</v>
      </c>
    </row>
    <row r="217" spans="1:3" x14ac:dyDescent="0.3">
      <c r="A217" s="28">
        <v>43909</v>
      </c>
      <c r="B217" s="6" t="s">
        <v>32</v>
      </c>
      <c r="C217" s="4">
        <v>1.85</v>
      </c>
    </row>
    <row r="218" spans="1:3" x14ac:dyDescent="0.3">
      <c r="A218" s="28">
        <v>43909</v>
      </c>
      <c r="B218" s="6" t="s">
        <v>33</v>
      </c>
      <c r="C218" s="4">
        <v>16.500340000000001</v>
      </c>
    </row>
    <row r="219" spans="1:3" x14ac:dyDescent="0.3">
      <c r="A219" s="28">
        <v>43909</v>
      </c>
      <c r="B219" s="6" t="s">
        <v>34</v>
      </c>
      <c r="C219" s="4">
        <v>12.71</v>
      </c>
    </row>
    <row r="220" spans="1:3" x14ac:dyDescent="0.3">
      <c r="A220" s="28">
        <v>43909</v>
      </c>
      <c r="B220" s="6" t="s">
        <v>35</v>
      </c>
      <c r="C220" s="4">
        <v>21.01</v>
      </c>
    </row>
    <row r="221" spans="1:3" x14ac:dyDescent="0.3">
      <c r="A221" s="28">
        <v>43909</v>
      </c>
      <c r="B221" s="6" t="s">
        <v>36</v>
      </c>
      <c r="C221" s="4">
        <v>33.775123999999998</v>
      </c>
    </row>
    <row r="222" spans="1:3" x14ac:dyDescent="0.3">
      <c r="A222" s="28">
        <v>43910</v>
      </c>
      <c r="B222" s="6" t="s">
        <v>27</v>
      </c>
      <c r="C222" s="4">
        <v>10.38</v>
      </c>
    </row>
    <row r="223" spans="1:3" x14ac:dyDescent="0.3">
      <c r="A223" s="28">
        <v>43910</v>
      </c>
      <c r="B223" s="6" t="s">
        <v>28</v>
      </c>
      <c r="C223" s="4">
        <v>29.639999</v>
      </c>
    </row>
    <row r="224" spans="1:3" x14ac:dyDescent="0.3">
      <c r="A224" s="28">
        <v>43910</v>
      </c>
      <c r="B224" s="6" t="s">
        <v>29</v>
      </c>
      <c r="C224" s="4">
        <v>48.799999</v>
      </c>
    </row>
    <row r="225" spans="1:3" x14ac:dyDescent="0.3">
      <c r="A225" s="28">
        <v>43910</v>
      </c>
      <c r="B225" s="6" t="s">
        <v>30</v>
      </c>
      <c r="C225" s="4">
        <v>31.940000999999999</v>
      </c>
    </row>
    <row r="226" spans="1:3" x14ac:dyDescent="0.3">
      <c r="A226" s="28">
        <v>43910</v>
      </c>
      <c r="B226" s="6" t="s">
        <v>31</v>
      </c>
      <c r="C226" s="4">
        <v>3.2129029999999998</v>
      </c>
    </row>
    <row r="227" spans="1:3" x14ac:dyDescent="0.3">
      <c r="A227" s="28">
        <v>43910</v>
      </c>
      <c r="B227" s="6" t="s">
        <v>32</v>
      </c>
      <c r="C227" s="4">
        <v>1.61</v>
      </c>
    </row>
    <row r="228" spans="1:3" x14ac:dyDescent="0.3">
      <c r="A228" s="28">
        <v>43910</v>
      </c>
      <c r="B228" s="6" t="s">
        <v>33</v>
      </c>
      <c r="C228" s="4">
        <v>17.245518000000001</v>
      </c>
    </row>
    <row r="229" spans="1:3" x14ac:dyDescent="0.3">
      <c r="A229" s="28">
        <v>43910</v>
      </c>
      <c r="B229" s="6" t="s">
        <v>34</v>
      </c>
      <c r="C229" s="4">
        <v>12.04</v>
      </c>
    </row>
    <row r="230" spans="1:3" x14ac:dyDescent="0.3">
      <c r="A230" s="28">
        <v>43910</v>
      </c>
      <c r="B230" s="6" t="s">
        <v>35</v>
      </c>
      <c r="C230" s="4">
        <v>22.23</v>
      </c>
    </row>
    <row r="231" spans="1:3" x14ac:dyDescent="0.3">
      <c r="A231" s="28">
        <v>43910</v>
      </c>
      <c r="B231" s="6" t="s">
        <v>36</v>
      </c>
      <c r="C231" s="4">
        <v>32.117268000000003</v>
      </c>
    </row>
    <row r="232" spans="1:3" x14ac:dyDescent="0.3">
      <c r="A232" s="28">
        <v>43913</v>
      </c>
      <c r="B232" s="6" t="s">
        <v>27</v>
      </c>
      <c r="C232" s="4">
        <v>10.25</v>
      </c>
    </row>
    <row r="233" spans="1:3" x14ac:dyDescent="0.3">
      <c r="A233" s="28">
        <v>43913</v>
      </c>
      <c r="B233" s="6" t="s">
        <v>28</v>
      </c>
      <c r="C233" s="4">
        <v>34.139999000000003</v>
      </c>
    </row>
    <row r="234" spans="1:3" x14ac:dyDescent="0.3">
      <c r="A234" s="28">
        <v>43913</v>
      </c>
      <c r="B234" s="6" t="s">
        <v>29</v>
      </c>
      <c r="C234" s="4">
        <v>50.849997999999999</v>
      </c>
    </row>
    <row r="235" spans="1:3" x14ac:dyDescent="0.3">
      <c r="A235" s="28">
        <v>43913</v>
      </c>
      <c r="B235" s="6" t="s">
        <v>30</v>
      </c>
      <c r="C235" s="4">
        <v>33.729999999999997</v>
      </c>
    </row>
    <row r="236" spans="1:3" x14ac:dyDescent="0.3">
      <c r="A236" s="28">
        <v>43913</v>
      </c>
      <c r="B236" s="6" t="s">
        <v>31</v>
      </c>
      <c r="C236" s="4">
        <v>2.409678</v>
      </c>
    </row>
    <row r="237" spans="1:3" x14ac:dyDescent="0.3">
      <c r="A237" s="28">
        <v>43913</v>
      </c>
      <c r="B237" s="6" t="s">
        <v>32</v>
      </c>
      <c r="C237" s="4">
        <v>1.34</v>
      </c>
    </row>
    <row r="238" spans="1:3" x14ac:dyDescent="0.3">
      <c r="A238" s="28">
        <v>43913</v>
      </c>
      <c r="B238" s="6" t="s">
        <v>33</v>
      </c>
      <c r="C238" s="4">
        <v>16.151947</v>
      </c>
    </row>
    <row r="239" spans="1:3" x14ac:dyDescent="0.3">
      <c r="A239" s="28">
        <v>43913</v>
      </c>
      <c r="B239" s="6" t="s">
        <v>34</v>
      </c>
      <c r="C239" s="4">
        <v>10.58</v>
      </c>
    </row>
    <row r="240" spans="1:3" x14ac:dyDescent="0.3">
      <c r="A240" s="28">
        <v>43913</v>
      </c>
      <c r="B240" s="6" t="s">
        <v>35</v>
      </c>
      <c r="C240" s="4">
        <v>24.75</v>
      </c>
    </row>
    <row r="241" spans="1:3" x14ac:dyDescent="0.3">
      <c r="A241" s="28">
        <v>43913</v>
      </c>
      <c r="B241" s="6" t="s">
        <v>36</v>
      </c>
      <c r="C241" s="4">
        <v>30.851804999999999</v>
      </c>
    </row>
    <row r="242" spans="1:3" x14ac:dyDescent="0.3">
      <c r="A242" s="28">
        <v>43914</v>
      </c>
      <c r="B242" s="6" t="s">
        <v>27</v>
      </c>
      <c r="C242" s="4">
        <v>13.92</v>
      </c>
    </row>
    <row r="243" spans="1:3" x14ac:dyDescent="0.3">
      <c r="A243" s="28">
        <v>43914</v>
      </c>
      <c r="B243" s="6" t="s">
        <v>28</v>
      </c>
      <c r="C243" s="4">
        <v>34.150002000000001</v>
      </c>
    </row>
    <row r="244" spans="1:3" x14ac:dyDescent="0.3">
      <c r="A244" s="28">
        <v>43914</v>
      </c>
      <c r="B244" s="6" t="s">
        <v>29</v>
      </c>
      <c r="C244" s="4">
        <v>59.48</v>
      </c>
    </row>
    <row r="245" spans="1:3" x14ac:dyDescent="0.3">
      <c r="A245" s="28">
        <v>43914</v>
      </c>
      <c r="B245" s="6" t="s">
        <v>30</v>
      </c>
      <c r="C245" s="4">
        <v>37.659999999999997</v>
      </c>
    </row>
    <row r="246" spans="1:3" x14ac:dyDescent="0.3">
      <c r="A246" s="28">
        <v>43914</v>
      </c>
      <c r="B246" s="6" t="s">
        <v>31</v>
      </c>
      <c r="C246" s="4">
        <v>0.32129000000000002</v>
      </c>
    </row>
    <row r="247" spans="1:3" x14ac:dyDescent="0.3">
      <c r="A247" s="28">
        <v>43914</v>
      </c>
      <c r="B247" s="6" t="s">
        <v>32</v>
      </c>
      <c r="C247" s="4">
        <v>1.57</v>
      </c>
    </row>
    <row r="248" spans="1:3" x14ac:dyDescent="0.3">
      <c r="A248" s="28">
        <v>43914</v>
      </c>
      <c r="B248" s="6" t="s">
        <v>33</v>
      </c>
      <c r="C248" s="4">
        <v>18.000371999999999</v>
      </c>
    </row>
    <row r="249" spans="1:3" x14ac:dyDescent="0.3">
      <c r="A249" s="28">
        <v>43914</v>
      </c>
      <c r="B249" s="6" t="s">
        <v>34</v>
      </c>
      <c r="C249" s="4">
        <v>13.72</v>
      </c>
    </row>
    <row r="250" spans="1:3" x14ac:dyDescent="0.3">
      <c r="A250" s="28">
        <v>43914</v>
      </c>
      <c r="B250" s="6" t="s">
        <v>35</v>
      </c>
      <c r="C250" s="4">
        <v>25.950001</v>
      </c>
    </row>
    <row r="251" spans="1:3" x14ac:dyDescent="0.3">
      <c r="A251" s="28">
        <v>43914</v>
      </c>
      <c r="B251" s="6" t="s">
        <v>36</v>
      </c>
      <c r="C251" s="4">
        <v>34.765911000000003</v>
      </c>
    </row>
    <row r="252" spans="1:3" x14ac:dyDescent="0.3">
      <c r="A252" s="28">
        <v>43915</v>
      </c>
      <c r="B252" s="6" t="s">
        <v>27</v>
      </c>
      <c r="C252" s="4">
        <v>15.39</v>
      </c>
    </row>
    <row r="253" spans="1:3" x14ac:dyDescent="0.3">
      <c r="A253" s="28">
        <v>43915</v>
      </c>
      <c r="B253" s="6" t="s">
        <v>28</v>
      </c>
      <c r="C253" s="4">
        <v>34.029998999999997</v>
      </c>
    </row>
    <row r="254" spans="1:3" x14ac:dyDescent="0.3">
      <c r="A254" s="28">
        <v>43915</v>
      </c>
      <c r="B254" s="6" t="s">
        <v>29</v>
      </c>
      <c r="C254" s="4">
        <v>65.889999000000003</v>
      </c>
    </row>
    <row r="255" spans="1:3" x14ac:dyDescent="0.3">
      <c r="A255" s="28">
        <v>43915</v>
      </c>
      <c r="B255" s="6" t="s">
        <v>30</v>
      </c>
      <c r="C255" s="4">
        <v>39.400002000000001</v>
      </c>
    </row>
    <row r="256" spans="1:3" x14ac:dyDescent="0.3">
      <c r="A256" s="28">
        <v>43915</v>
      </c>
      <c r="B256" s="6" t="s">
        <v>31</v>
      </c>
      <c r="C256" s="4">
        <v>1.0174190000000001</v>
      </c>
    </row>
    <row r="257" spans="1:3" x14ac:dyDescent="0.3">
      <c r="A257" s="28">
        <v>43915</v>
      </c>
      <c r="B257" s="6" t="s">
        <v>32</v>
      </c>
      <c r="C257" s="4">
        <v>1.62</v>
      </c>
    </row>
    <row r="258" spans="1:3" x14ac:dyDescent="0.3">
      <c r="A258" s="28">
        <v>43915</v>
      </c>
      <c r="B258" s="6" t="s">
        <v>33</v>
      </c>
      <c r="C258" s="4">
        <v>19.732664</v>
      </c>
    </row>
    <row r="259" spans="1:3" x14ac:dyDescent="0.3">
      <c r="A259" s="28">
        <v>43915</v>
      </c>
      <c r="B259" s="6" t="s">
        <v>34</v>
      </c>
      <c r="C259" s="4">
        <v>14.9</v>
      </c>
    </row>
    <row r="260" spans="1:3" x14ac:dyDescent="0.3">
      <c r="A260" s="28">
        <v>43915</v>
      </c>
      <c r="B260" s="6" t="s">
        <v>35</v>
      </c>
      <c r="C260" s="4">
        <v>25.879999000000002</v>
      </c>
    </row>
    <row r="261" spans="1:3" x14ac:dyDescent="0.3">
      <c r="A261" s="28">
        <v>43915</v>
      </c>
      <c r="B261" s="6" t="s">
        <v>36</v>
      </c>
      <c r="C261" s="4">
        <v>36.580722999999999</v>
      </c>
    </row>
    <row r="262" spans="1:3" x14ac:dyDescent="0.3">
      <c r="A262" s="28">
        <v>43916</v>
      </c>
      <c r="B262" s="6" t="s">
        <v>27</v>
      </c>
      <c r="C262" s="4">
        <v>15.66</v>
      </c>
    </row>
    <row r="263" spans="1:3" x14ac:dyDescent="0.3">
      <c r="A263" s="28">
        <v>43916</v>
      </c>
      <c r="B263" s="6" t="s">
        <v>28</v>
      </c>
      <c r="C263" s="4">
        <v>36.659999999999997</v>
      </c>
    </row>
    <row r="264" spans="1:3" x14ac:dyDescent="0.3">
      <c r="A264" s="28">
        <v>43916</v>
      </c>
      <c r="B264" s="6" t="s">
        <v>29</v>
      </c>
      <c r="C264" s="4">
        <v>64.410004000000001</v>
      </c>
    </row>
    <row r="265" spans="1:3" x14ac:dyDescent="0.3">
      <c r="A265" s="28">
        <v>43916</v>
      </c>
      <c r="B265" s="6" t="s">
        <v>30</v>
      </c>
      <c r="C265" s="4">
        <v>41.23</v>
      </c>
    </row>
    <row r="266" spans="1:3" x14ac:dyDescent="0.3">
      <c r="A266" s="28">
        <v>43916</v>
      </c>
      <c r="B266" s="6" t="s">
        <v>31</v>
      </c>
      <c r="C266" s="4">
        <v>1.517204</v>
      </c>
    </row>
    <row r="267" spans="1:3" x14ac:dyDescent="0.3">
      <c r="A267" s="28">
        <v>43916</v>
      </c>
      <c r="B267" s="6" t="s">
        <v>32</v>
      </c>
      <c r="C267" s="4">
        <v>2.09</v>
      </c>
    </row>
    <row r="268" spans="1:3" x14ac:dyDescent="0.3">
      <c r="A268" s="28">
        <v>43916</v>
      </c>
      <c r="B268" s="6" t="s">
        <v>33</v>
      </c>
      <c r="C268" s="4">
        <v>20.806881000000001</v>
      </c>
    </row>
    <row r="269" spans="1:3" x14ac:dyDescent="0.3">
      <c r="A269" s="28">
        <v>43916</v>
      </c>
      <c r="B269" s="6" t="s">
        <v>34</v>
      </c>
      <c r="C269" s="4">
        <v>15.16</v>
      </c>
    </row>
    <row r="270" spans="1:3" x14ac:dyDescent="0.3">
      <c r="A270" s="28">
        <v>43916</v>
      </c>
      <c r="B270" s="6" t="s">
        <v>35</v>
      </c>
      <c r="C270" s="4">
        <v>28.48</v>
      </c>
    </row>
    <row r="271" spans="1:3" x14ac:dyDescent="0.3">
      <c r="A271" s="28">
        <v>43916</v>
      </c>
      <c r="B271" s="6" t="s">
        <v>36</v>
      </c>
      <c r="C271" s="4">
        <v>38.081623</v>
      </c>
    </row>
    <row r="272" spans="1:3" x14ac:dyDescent="0.3">
      <c r="A272" s="28">
        <v>43917</v>
      </c>
      <c r="B272" s="6" t="s">
        <v>27</v>
      </c>
      <c r="C272" s="4">
        <v>14.04</v>
      </c>
    </row>
    <row r="273" spans="1:3" x14ac:dyDescent="0.3">
      <c r="A273" s="28">
        <v>43917</v>
      </c>
      <c r="B273" s="6" t="s">
        <v>28</v>
      </c>
      <c r="C273" s="4">
        <v>36.259998000000003</v>
      </c>
    </row>
    <row r="274" spans="1:3" x14ac:dyDescent="0.3">
      <c r="A274" s="28">
        <v>43917</v>
      </c>
      <c r="B274" s="6" t="s">
        <v>29</v>
      </c>
      <c r="C274" s="4">
        <v>60.029998999999997</v>
      </c>
    </row>
    <row r="275" spans="1:3" x14ac:dyDescent="0.3">
      <c r="A275" s="28">
        <v>43917</v>
      </c>
      <c r="B275" s="6" t="s">
        <v>30</v>
      </c>
      <c r="C275" s="4">
        <v>36.380001</v>
      </c>
    </row>
    <row r="276" spans="1:3" x14ac:dyDescent="0.3">
      <c r="A276" s="28">
        <v>43917</v>
      </c>
      <c r="B276" s="6" t="s">
        <v>31</v>
      </c>
      <c r="C276" s="4">
        <v>1.66</v>
      </c>
    </row>
    <row r="277" spans="1:3" x14ac:dyDescent="0.3">
      <c r="A277" s="28">
        <v>43917</v>
      </c>
      <c r="B277" s="6" t="s">
        <v>32</v>
      </c>
      <c r="C277" s="4">
        <v>1.92</v>
      </c>
    </row>
    <row r="278" spans="1:3" x14ac:dyDescent="0.3">
      <c r="A278" s="28">
        <v>43917</v>
      </c>
      <c r="B278" s="6" t="s">
        <v>33</v>
      </c>
      <c r="C278" s="4">
        <v>19.142330000000001</v>
      </c>
    </row>
    <row r="279" spans="1:3" x14ac:dyDescent="0.3">
      <c r="A279" s="28">
        <v>43917</v>
      </c>
      <c r="B279" s="6" t="s">
        <v>34</v>
      </c>
      <c r="C279" s="4">
        <v>13.91</v>
      </c>
    </row>
    <row r="280" spans="1:3" x14ac:dyDescent="0.3">
      <c r="A280" s="28">
        <v>43917</v>
      </c>
      <c r="B280" s="6" t="s">
        <v>35</v>
      </c>
      <c r="C280" s="4">
        <v>28.58</v>
      </c>
    </row>
    <row r="281" spans="1:3" x14ac:dyDescent="0.3">
      <c r="A281" s="28">
        <v>43917</v>
      </c>
      <c r="B281" s="6" t="s">
        <v>36</v>
      </c>
      <c r="C281" s="4">
        <v>36.247191999999998</v>
      </c>
    </row>
    <row r="282" spans="1:3" x14ac:dyDescent="0.3">
      <c r="A282" s="28">
        <v>43920</v>
      </c>
      <c r="B282" s="6" t="s">
        <v>27</v>
      </c>
      <c r="C282" s="4">
        <v>12.25</v>
      </c>
    </row>
    <row r="283" spans="1:3" x14ac:dyDescent="0.3">
      <c r="A283" s="28">
        <v>43920</v>
      </c>
      <c r="B283" s="6" t="s">
        <v>28</v>
      </c>
      <c r="C283" s="4">
        <v>36.5</v>
      </c>
    </row>
    <row r="284" spans="1:3" x14ac:dyDescent="0.3">
      <c r="A284" s="28">
        <v>43920</v>
      </c>
      <c r="B284" s="6" t="s">
        <v>29</v>
      </c>
      <c r="C284" s="4">
        <v>56.389999000000003</v>
      </c>
    </row>
    <row r="285" spans="1:3" x14ac:dyDescent="0.3">
      <c r="A285" s="28">
        <v>43920</v>
      </c>
      <c r="B285" s="6" t="s">
        <v>30</v>
      </c>
      <c r="C285" s="4">
        <v>35.099997999999999</v>
      </c>
    </row>
    <row r="286" spans="1:3" x14ac:dyDescent="0.3">
      <c r="A286" s="28">
        <v>43920</v>
      </c>
      <c r="B286" s="6" t="s">
        <v>31</v>
      </c>
      <c r="C286" s="4">
        <v>1.52</v>
      </c>
    </row>
    <row r="287" spans="1:3" x14ac:dyDescent="0.3">
      <c r="A287" s="28">
        <v>43920</v>
      </c>
      <c r="B287" s="6" t="s">
        <v>32</v>
      </c>
      <c r="C287" s="4">
        <v>1.95</v>
      </c>
    </row>
    <row r="288" spans="1:3" x14ac:dyDescent="0.3">
      <c r="A288" s="28">
        <v>43920</v>
      </c>
      <c r="B288" s="6" t="s">
        <v>33</v>
      </c>
      <c r="C288" s="4">
        <v>18.373878000000001</v>
      </c>
    </row>
    <row r="289" spans="1:3" x14ac:dyDescent="0.3">
      <c r="A289" s="28">
        <v>43920</v>
      </c>
      <c r="B289" s="6" t="s">
        <v>34</v>
      </c>
      <c r="C289" s="4">
        <v>13.21</v>
      </c>
    </row>
    <row r="290" spans="1:3" x14ac:dyDescent="0.3">
      <c r="A290" s="28">
        <v>43920</v>
      </c>
      <c r="B290" s="6" t="s">
        <v>35</v>
      </c>
      <c r="C290" s="4">
        <v>28.209999</v>
      </c>
    </row>
    <row r="291" spans="1:3" x14ac:dyDescent="0.3">
      <c r="A291" s="28">
        <v>43920</v>
      </c>
      <c r="B291" s="6" t="s">
        <v>36</v>
      </c>
      <c r="C291" s="4">
        <v>36.786727999999997</v>
      </c>
    </row>
    <row r="292" spans="1:3" x14ac:dyDescent="0.3">
      <c r="A292" s="28">
        <v>43921</v>
      </c>
      <c r="B292" s="6" t="s">
        <v>27</v>
      </c>
      <c r="C292" s="4">
        <v>12.19</v>
      </c>
    </row>
    <row r="293" spans="1:3" x14ac:dyDescent="0.3">
      <c r="A293" s="28">
        <v>43921</v>
      </c>
      <c r="B293" s="6" t="s">
        <v>28</v>
      </c>
      <c r="C293" s="4">
        <v>35.779998999999997</v>
      </c>
    </row>
    <row r="294" spans="1:3" x14ac:dyDescent="0.3">
      <c r="A294" s="28">
        <v>43921</v>
      </c>
      <c r="B294" s="6" t="s">
        <v>29</v>
      </c>
      <c r="C294" s="4">
        <v>56.27</v>
      </c>
    </row>
    <row r="295" spans="1:3" x14ac:dyDescent="0.3">
      <c r="A295" s="28">
        <v>43921</v>
      </c>
      <c r="B295" s="6" t="s">
        <v>30</v>
      </c>
      <c r="C295" s="4">
        <v>35.610000999999997</v>
      </c>
    </row>
    <row r="296" spans="1:3" x14ac:dyDescent="0.3">
      <c r="A296" s="28">
        <v>43921</v>
      </c>
      <c r="B296" s="6" t="s">
        <v>31</v>
      </c>
      <c r="C296" s="4">
        <v>1.55</v>
      </c>
    </row>
    <row r="297" spans="1:3" x14ac:dyDescent="0.3">
      <c r="A297" s="28">
        <v>43921</v>
      </c>
      <c r="B297" s="6" t="s">
        <v>32</v>
      </c>
      <c r="C297" s="4">
        <v>2.0099999999999998</v>
      </c>
    </row>
    <row r="298" spans="1:3" x14ac:dyDescent="0.3">
      <c r="A298" s="28">
        <v>43921</v>
      </c>
      <c r="B298" s="6" t="s">
        <v>33</v>
      </c>
      <c r="C298" s="4">
        <v>17.851727</v>
      </c>
    </row>
    <row r="299" spans="1:3" x14ac:dyDescent="0.3">
      <c r="A299" s="28">
        <v>43921</v>
      </c>
      <c r="B299" s="6" t="s">
        <v>34</v>
      </c>
      <c r="C299" s="4">
        <v>12.95</v>
      </c>
    </row>
    <row r="300" spans="1:3" x14ac:dyDescent="0.3">
      <c r="A300" s="28">
        <v>43921</v>
      </c>
      <c r="B300" s="6" t="s">
        <v>35</v>
      </c>
      <c r="C300" s="4">
        <v>26.84</v>
      </c>
    </row>
    <row r="301" spans="1:3" x14ac:dyDescent="0.3">
      <c r="A301" s="28">
        <v>43921</v>
      </c>
      <c r="B301" s="6" t="s">
        <v>36</v>
      </c>
      <c r="C301" s="4">
        <v>37.247790999999999</v>
      </c>
    </row>
    <row r="302" spans="1:3" x14ac:dyDescent="0.3">
      <c r="A302" s="28">
        <v>43922</v>
      </c>
      <c r="B302" s="6" t="s">
        <v>27</v>
      </c>
      <c r="C302" s="4">
        <v>10.69</v>
      </c>
    </row>
    <row r="303" spans="1:3" x14ac:dyDescent="0.3">
      <c r="A303" s="28">
        <v>43922</v>
      </c>
      <c r="B303" s="6" t="s">
        <v>28</v>
      </c>
      <c r="C303" s="4">
        <v>34.130001</v>
      </c>
    </row>
    <row r="304" spans="1:3" x14ac:dyDescent="0.3">
      <c r="A304" s="28">
        <v>43922</v>
      </c>
      <c r="B304" s="6" t="s">
        <v>29</v>
      </c>
      <c r="C304" s="4">
        <v>52</v>
      </c>
    </row>
    <row r="305" spans="1:3" x14ac:dyDescent="0.3">
      <c r="A305" s="28">
        <v>43922</v>
      </c>
      <c r="B305" s="6" t="s">
        <v>30</v>
      </c>
      <c r="C305" s="4">
        <v>32.040000999999997</v>
      </c>
    </row>
    <row r="306" spans="1:3" x14ac:dyDescent="0.3">
      <c r="A306" s="28">
        <v>43922</v>
      </c>
      <c r="B306" s="6" t="s">
        <v>31</v>
      </c>
      <c r="C306" s="4">
        <v>1.28</v>
      </c>
    </row>
    <row r="307" spans="1:3" x14ac:dyDescent="0.3">
      <c r="A307" s="28">
        <v>43922</v>
      </c>
      <c r="B307" s="6" t="s">
        <v>32</v>
      </c>
      <c r="C307" s="4">
        <v>1.89</v>
      </c>
    </row>
    <row r="308" spans="1:3" x14ac:dyDescent="0.3">
      <c r="A308" s="28">
        <v>43922</v>
      </c>
      <c r="B308" s="6" t="s">
        <v>33</v>
      </c>
      <c r="C308" s="4">
        <v>16.009411</v>
      </c>
    </row>
    <row r="309" spans="1:3" x14ac:dyDescent="0.3">
      <c r="A309" s="28">
        <v>43922</v>
      </c>
      <c r="B309" s="6" t="s">
        <v>34</v>
      </c>
      <c r="C309" s="4">
        <v>11.07</v>
      </c>
    </row>
    <row r="310" spans="1:3" x14ac:dyDescent="0.3">
      <c r="A310" s="28">
        <v>43922</v>
      </c>
      <c r="B310" s="6" t="s">
        <v>35</v>
      </c>
      <c r="C310" s="4">
        <v>25.75</v>
      </c>
    </row>
    <row r="311" spans="1:3" x14ac:dyDescent="0.3">
      <c r="A311" s="28">
        <v>43922</v>
      </c>
      <c r="B311" s="6" t="s">
        <v>36</v>
      </c>
      <c r="C311" s="4">
        <v>36.816158000000001</v>
      </c>
    </row>
    <row r="312" spans="1:3" x14ac:dyDescent="0.3">
      <c r="A312" s="28">
        <v>43923</v>
      </c>
      <c r="B312" s="6" t="s">
        <v>27</v>
      </c>
      <c r="C312" s="4">
        <v>10.06</v>
      </c>
    </row>
    <row r="313" spans="1:3" x14ac:dyDescent="0.3">
      <c r="A313" s="28">
        <v>43923</v>
      </c>
      <c r="B313" s="6" t="s">
        <v>28</v>
      </c>
      <c r="C313" s="4">
        <v>33.959999000000003</v>
      </c>
    </row>
    <row r="314" spans="1:3" x14ac:dyDescent="0.3">
      <c r="A314" s="28">
        <v>43923</v>
      </c>
      <c r="B314" s="6" t="s">
        <v>29</v>
      </c>
      <c r="C314" s="4">
        <v>47.860000999999997</v>
      </c>
    </row>
    <row r="315" spans="1:3" x14ac:dyDescent="0.3">
      <c r="A315" s="28">
        <v>43923</v>
      </c>
      <c r="B315" s="6" t="s">
        <v>30</v>
      </c>
      <c r="C315" s="4">
        <v>31.5</v>
      </c>
    </row>
    <row r="316" spans="1:3" x14ac:dyDescent="0.3">
      <c r="A316" s="28">
        <v>43923</v>
      </c>
      <c r="B316" s="6" t="s">
        <v>31</v>
      </c>
      <c r="C316" s="4">
        <v>1.1000000000000001</v>
      </c>
    </row>
    <row r="317" spans="1:3" x14ac:dyDescent="0.3">
      <c r="A317" s="28">
        <v>43923</v>
      </c>
      <c r="B317" s="6" t="s">
        <v>32</v>
      </c>
      <c r="C317" s="4">
        <v>2.21</v>
      </c>
    </row>
    <row r="318" spans="1:3" x14ac:dyDescent="0.3">
      <c r="A318" s="28">
        <v>43923</v>
      </c>
      <c r="B318" s="6" t="s">
        <v>33</v>
      </c>
      <c r="C318" s="4">
        <v>15.329628</v>
      </c>
    </row>
    <row r="319" spans="1:3" x14ac:dyDescent="0.3">
      <c r="A319" s="28">
        <v>43923</v>
      </c>
      <c r="B319" s="6" t="s">
        <v>34</v>
      </c>
      <c r="C319" s="4">
        <v>11.01</v>
      </c>
    </row>
    <row r="320" spans="1:3" x14ac:dyDescent="0.3">
      <c r="A320" s="28">
        <v>43923</v>
      </c>
      <c r="B320" s="6" t="s">
        <v>35</v>
      </c>
      <c r="C320" s="4">
        <v>24.26</v>
      </c>
    </row>
    <row r="321" spans="1:3" x14ac:dyDescent="0.3">
      <c r="A321" s="28">
        <v>43923</v>
      </c>
      <c r="B321" s="6" t="s">
        <v>36</v>
      </c>
      <c r="C321" s="4">
        <v>39.631573000000003</v>
      </c>
    </row>
    <row r="322" spans="1:3" x14ac:dyDescent="0.3">
      <c r="A322" s="28">
        <v>43924</v>
      </c>
      <c r="B322" s="6" t="s">
        <v>27</v>
      </c>
      <c r="C322" s="4">
        <v>9.39</v>
      </c>
    </row>
    <row r="323" spans="1:3" x14ac:dyDescent="0.3">
      <c r="A323" s="28">
        <v>43924</v>
      </c>
      <c r="B323" s="6" t="s">
        <v>28</v>
      </c>
      <c r="C323" s="4">
        <v>34.25</v>
      </c>
    </row>
    <row r="324" spans="1:3" x14ac:dyDescent="0.3">
      <c r="A324" s="28">
        <v>43924</v>
      </c>
      <c r="B324" s="6" t="s">
        <v>29</v>
      </c>
      <c r="C324" s="4">
        <v>48.709999000000003</v>
      </c>
    </row>
    <row r="325" spans="1:3" x14ac:dyDescent="0.3">
      <c r="A325" s="28">
        <v>43924</v>
      </c>
      <c r="B325" s="6" t="s">
        <v>30</v>
      </c>
      <c r="C325" s="4">
        <v>30.540001</v>
      </c>
    </row>
    <row r="326" spans="1:3" x14ac:dyDescent="0.3">
      <c r="A326" s="28">
        <v>43924</v>
      </c>
      <c r="B326" s="6" t="s">
        <v>31</v>
      </c>
      <c r="C326" s="4">
        <v>1.0900000000000001</v>
      </c>
    </row>
    <row r="327" spans="1:3" x14ac:dyDescent="0.3">
      <c r="A327" s="28">
        <v>43924</v>
      </c>
      <c r="B327" s="6" t="s">
        <v>32</v>
      </c>
      <c r="C327" s="4">
        <v>2.1800000000000002</v>
      </c>
    </row>
    <row r="328" spans="1:3" x14ac:dyDescent="0.3">
      <c r="A328" s="28">
        <v>43924</v>
      </c>
      <c r="B328" s="6" t="s">
        <v>33</v>
      </c>
      <c r="C328" s="4">
        <v>14.364136999999999</v>
      </c>
    </row>
    <row r="329" spans="1:3" x14ac:dyDescent="0.3">
      <c r="A329" s="28">
        <v>43924</v>
      </c>
      <c r="B329" s="6" t="s">
        <v>34</v>
      </c>
      <c r="C329" s="4">
        <v>11.09</v>
      </c>
    </row>
    <row r="330" spans="1:3" x14ac:dyDescent="0.3">
      <c r="A330" s="28">
        <v>43924</v>
      </c>
      <c r="B330" s="6" t="s">
        <v>35</v>
      </c>
      <c r="C330" s="4">
        <v>24.26</v>
      </c>
    </row>
    <row r="331" spans="1:3" x14ac:dyDescent="0.3">
      <c r="A331" s="28">
        <v>43924</v>
      </c>
      <c r="B331" s="6" t="s">
        <v>36</v>
      </c>
      <c r="C331" s="4">
        <v>38.464202999999998</v>
      </c>
    </row>
    <row r="332" spans="1:3" x14ac:dyDescent="0.3">
      <c r="A332" s="28">
        <v>43927</v>
      </c>
      <c r="B332" s="6" t="s">
        <v>27</v>
      </c>
      <c r="C332" s="4">
        <v>9.5</v>
      </c>
    </row>
    <row r="333" spans="1:3" x14ac:dyDescent="0.3">
      <c r="A333" s="28">
        <v>43927</v>
      </c>
      <c r="B333" s="6" t="s">
        <v>28</v>
      </c>
      <c r="C333" s="4">
        <v>34.93</v>
      </c>
    </row>
    <row r="334" spans="1:3" x14ac:dyDescent="0.3">
      <c r="A334" s="28">
        <v>43927</v>
      </c>
      <c r="B334" s="6" t="s">
        <v>29</v>
      </c>
      <c r="C334" s="4">
        <v>52.830002</v>
      </c>
    </row>
    <row r="335" spans="1:3" x14ac:dyDescent="0.3">
      <c r="A335" s="28">
        <v>43927</v>
      </c>
      <c r="B335" s="6" t="s">
        <v>30</v>
      </c>
      <c r="C335" s="4">
        <v>30.700001</v>
      </c>
    </row>
    <row r="336" spans="1:3" x14ac:dyDescent="0.3">
      <c r="A336" s="28">
        <v>43927</v>
      </c>
      <c r="B336" s="6" t="s">
        <v>31</v>
      </c>
      <c r="C336" s="4">
        <v>1.1200000000000001</v>
      </c>
    </row>
    <row r="337" spans="1:3" x14ac:dyDescent="0.3">
      <c r="A337" s="28">
        <v>43927</v>
      </c>
      <c r="B337" s="6" t="s">
        <v>32</v>
      </c>
      <c r="C337" s="4">
        <v>2.54</v>
      </c>
    </row>
    <row r="338" spans="1:3" x14ac:dyDescent="0.3">
      <c r="A338" s="28">
        <v>43927</v>
      </c>
      <c r="B338" s="6" t="s">
        <v>33</v>
      </c>
      <c r="C338" s="4">
        <v>14.748362999999999</v>
      </c>
    </row>
    <row r="339" spans="1:3" x14ac:dyDescent="0.3">
      <c r="A339" s="28">
        <v>43927</v>
      </c>
      <c r="B339" s="6" t="s">
        <v>34</v>
      </c>
      <c r="C339" s="4">
        <v>13.04</v>
      </c>
    </row>
    <row r="340" spans="1:3" x14ac:dyDescent="0.3">
      <c r="A340" s="28">
        <v>43927</v>
      </c>
      <c r="B340" s="6" t="s">
        <v>35</v>
      </c>
      <c r="C340" s="4">
        <v>24.309999000000001</v>
      </c>
    </row>
    <row r="341" spans="1:3" x14ac:dyDescent="0.3">
      <c r="A341" s="28">
        <v>43927</v>
      </c>
      <c r="B341" s="6" t="s">
        <v>36</v>
      </c>
      <c r="C341" s="4">
        <v>39.700240999999998</v>
      </c>
    </row>
    <row r="342" spans="1:3" x14ac:dyDescent="0.3">
      <c r="A342" s="28">
        <v>43928</v>
      </c>
      <c r="B342" s="6" t="s">
        <v>27</v>
      </c>
      <c r="C342" s="4">
        <v>10.220000000000001</v>
      </c>
    </row>
    <row r="343" spans="1:3" x14ac:dyDescent="0.3">
      <c r="A343" s="28">
        <v>43928</v>
      </c>
      <c r="B343" s="6" t="s">
        <v>28</v>
      </c>
      <c r="C343" s="4">
        <v>35.130001</v>
      </c>
    </row>
    <row r="344" spans="1:3" x14ac:dyDescent="0.3">
      <c r="A344" s="28">
        <v>43928</v>
      </c>
      <c r="B344" s="6" t="s">
        <v>29</v>
      </c>
      <c r="C344" s="4">
        <v>56.509998000000003</v>
      </c>
    </row>
    <row r="345" spans="1:3" x14ac:dyDescent="0.3">
      <c r="A345" s="28">
        <v>43928</v>
      </c>
      <c r="B345" s="6" t="s">
        <v>30</v>
      </c>
      <c r="C345" s="4">
        <v>32.770000000000003</v>
      </c>
    </row>
    <row r="346" spans="1:3" x14ac:dyDescent="0.3">
      <c r="A346" s="28">
        <v>43928</v>
      </c>
      <c r="B346" s="6" t="s">
        <v>31</v>
      </c>
      <c r="C346" s="4">
        <v>1.25</v>
      </c>
    </row>
    <row r="347" spans="1:3" x14ac:dyDescent="0.3">
      <c r="A347" s="28">
        <v>43928</v>
      </c>
      <c r="B347" s="6" t="s">
        <v>32</v>
      </c>
      <c r="C347" s="4">
        <v>4.04</v>
      </c>
    </row>
    <row r="348" spans="1:3" x14ac:dyDescent="0.3">
      <c r="A348" s="28">
        <v>43928</v>
      </c>
      <c r="B348" s="6" t="s">
        <v>33</v>
      </c>
      <c r="C348" s="4">
        <v>14.965104999999999</v>
      </c>
    </row>
    <row r="349" spans="1:3" x14ac:dyDescent="0.3">
      <c r="A349" s="28">
        <v>43928</v>
      </c>
      <c r="B349" s="6" t="s">
        <v>34</v>
      </c>
      <c r="C349" s="4">
        <v>14.47</v>
      </c>
    </row>
    <row r="350" spans="1:3" x14ac:dyDescent="0.3">
      <c r="A350" s="28">
        <v>43928</v>
      </c>
      <c r="B350" s="6" t="s">
        <v>35</v>
      </c>
      <c r="C350" s="4">
        <v>23.48</v>
      </c>
    </row>
    <row r="351" spans="1:3" x14ac:dyDescent="0.3">
      <c r="A351" s="28">
        <v>43928</v>
      </c>
      <c r="B351" s="6" t="s">
        <v>36</v>
      </c>
      <c r="C351" s="4">
        <v>40.455593</v>
      </c>
    </row>
    <row r="352" spans="1:3" x14ac:dyDescent="0.3">
      <c r="A352" s="28">
        <v>43929</v>
      </c>
      <c r="B352" s="6" t="s">
        <v>27</v>
      </c>
      <c r="C352" s="4">
        <v>11.33</v>
      </c>
    </row>
    <row r="353" spans="1:3" x14ac:dyDescent="0.3">
      <c r="A353" s="28">
        <v>43929</v>
      </c>
      <c r="B353" s="6" t="s">
        <v>28</v>
      </c>
      <c r="C353" s="4">
        <v>36.840000000000003</v>
      </c>
    </row>
    <row r="354" spans="1:3" x14ac:dyDescent="0.3">
      <c r="A354" s="28">
        <v>43929</v>
      </c>
      <c r="B354" s="6" t="s">
        <v>29</v>
      </c>
      <c r="C354" s="4">
        <v>60.549999</v>
      </c>
    </row>
    <row r="355" spans="1:3" x14ac:dyDescent="0.3">
      <c r="A355" s="28">
        <v>43929</v>
      </c>
      <c r="B355" s="6" t="s">
        <v>30</v>
      </c>
      <c r="C355" s="4">
        <v>34.299999</v>
      </c>
    </row>
    <row r="356" spans="1:3" x14ac:dyDescent="0.3">
      <c r="A356" s="28">
        <v>43929</v>
      </c>
      <c r="B356" s="6" t="s">
        <v>31</v>
      </c>
      <c r="C356" s="4">
        <v>1.77</v>
      </c>
    </row>
    <row r="357" spans="1:3" x14ac:dyDescent="0.3">
      <c r="A357" s="28">
        <v>43929</v>
      </c>
      <c r="B357" s="6" t="s">
        <v>32</v>
      </c>
      <c r="C357" s="4">
        <v>4.0599999999999996</v>
      </c>
    </row>
    <row r="358" spans="1:3" x14ac:dyDescent="0.3">
      <c r="A358" s="28">
        <v>43929</v>
      </c>
      <c r="B358" s="6" t="s">
        <v>33</v>
      </c>
      <c r="C358" s="4">
        <v>16.354230999999999</v>
      </c>
    </row>
    <row r="359" spans="1:3" x14ac:dyDescent="0.3">
      <c r="A359" s="28">
        <v>43929</v>
      </c>
      <c r="B359" s="6" t="s">
        <v>34</v>
      </c>
      <c r="C359" s="4">
        <v>14.97</v>
      </c>
    </row>
    <row r="360" spans="1:3" x14ac:dyDescent="0.3">
      <c r="A360" s="28">
        <v>43929</v>
      </c>
      <c r="B360" s="6" t="s">
        <v>35</v>
      </c>
      <c r="C360" s="4">
        <v>24.9</v>
      </c>
    </row>
    <row r="361" spans="1:3" x14ac:dyDescent="0.3">
      <c r="A361" s="28">
        <v>43929</v>
      </c>
      <c r="B361" s="6" t="s">
        <v>36</v>
      </c>
      <c r="C361" s="4">
        <v>43.015945000000002</v>
      </c>
    </row>
    <row r="362" spans="1:3" x14ac:dyDescent="0.3">
      <c r="A362" s="28">
        <v>43930</v>
      </c>
      <c r="B362" s="6" t="s">
        <v>27</v>
      </c>
      <c r="C362" s="4">
        <v>12.51</v>
      </c>
    </row>
    <row r="363" spans="1:3" x14ac:dyDescent="0.3">
      <c r="A363" s="28">
        <v>43930</v>
      </c>
      <c r="B363" s="6" t="s">
        <v>28</v>
      </c>
      <c r="C363" s="4">
        <v>37.650002000000001</v>
      </c>
    </row>
    <row r="364" spans="1:3" x14ac:dyDescent="0.3">
      <c r="A364" s="28">
        <v>43930</v>
      </c>
      <c r="B364" s="6" t="s">
        <v>29</v>
      </c>
      <c r="C364" s="4">
        <v>62.419998</v>
      </c>
    </row>
    <row r="365" spans="1:3" x14ac:dyDescent="0.3">
      <c r="A365" s="28">
        <v>43930</v>
      </c>
      <c r="B365" s="6" t="s">
        <v>30</v>
      </c>
      <c r="C365" s="4">
        <v>36.470001000000003</v>
      </c>
    </row>
    <row r="366" spans="1:3" x14ac:dyDescent="0.3">
      <c r="A366" s="28">
        <v>43930</v>
      </c>
      <c r="B366" s="6" t="s">
        <v>31</v>
      </c>
      <c r="C366" s="4">
        <v>1.98</v>
      </c>
    </row>
    <row r="367" spans="1:3" x14ac:dyDescent="0.3">
      <c r="A367" s="28">
        <v>43930</v>
      </c>
      <c r="B367" s="6" t="s">
        <v>32</v>
      </c>
      <c r="C367" s="4">
        <v>3.88</v>
      </c>
    </row>
    <row r="368" spans="1:3" x14ac:dyDescent="0.3">
      <c r="A368" s="28">
        <v>43930</v>
      </c>
      <c r="B368" s="6" t="s">
        <v>33</v>
      </c>
      <c r="C368" s="4">
        <v>18.157136999999999</v>
      </c>
    </row>
    <row r="369" spans="1:3" x14ac:dyDescent="0.3">
      <c r="A369" s="28">
        <v>43930</v>
      </c>
      <c r="B369" s="6" t="s">
        <v>34</v>
      </c>
      <c r="C369" s="4">
        <v>15.7</v>
      </c>
    </row>
    <row r="370" spans="1:3" x14ac:dyDescent="0.3">
      <c r="A370" s="28">
        <v>43930</v>
      </c>
      <c r="B370" s="6" t="s">
        <v>35</v>
      </c>
      <c r="C370" s="4">
        <v>24.700001</v>
      </c>
    </row>
    <row r="371" spans="1:3" x14ac:dyDescent="0.3">
      <c r="A371" s="28">
        <v>43930</v>
      </c>
      <c r="B371" s="6" t="s">
        <v>36</v>
      </c>
      <c r="C371" s="4">
        <v>42.309643000000001</v>
      </c>
    </row>
    <row r="372" spans="1:3" x14ac:dyDescent="0.3">
      <c r="A372" s="28">
        <v>43934</v>
      </c>
      <c r="B372" s="6" t="s">
        <v>27</v>
      </c>
      <c r="C372" s="4">
        <v>11.56</v>
      </c>
    </row>
    <row r="373" spans="1:3" x14ac:dyDescent="0.3">
      <c r="A373" s="28">
        <v>43934</v>
      </c>
      <c r="B373" s="6" t="s">
        <v>28</v>
      </c>
      <c r="C373" s="4">
        <v>38.099997999999999</v>
      </c>
    </row>
    <row r="374" spans="1:3" x14ac:dyDescent="0.3">
      <c r="A374" s="28">
        <v>43934</v>
      </c>
      <c r="B374" s="6" t="s">
        <v>29</v>
      </c>
      <c r="C374" s="4">
        <v>58.790000999999997</v>
      </c>
    </row>
    <row r="375" spans="1:3" x14ac:dyDescent="0.3">
      <c r="A375" s="28">
        <v>43934</v>
      </c>
      <c r="B375" s="6" t="s">
        <v>30</v>
      </c>
      <c r="C375" s="4">
        <v>34.259998000000003</v>
      </c>
    </row>
    <row r="376" spans="1:3" x14ac:dyDescent="0.3">
      <c r="A376" s="28">
        <v>43934</v>
      </c>
      <c r="B376" s="6" t="s">
        <v>31</v>
      </c>
      <c r="C376" s="4">
        <v>1.86</v>
      </c>
    </row>
    <row r="377" spans="1:3" x14ac:dyDescent="0.3">
      <c r="A377" s="28">
        <v>43934</v>
      </c>
      <c r="B377" s="6" t="s">
        <v>32</v>
      </c>
      <c r="C377" s="4">
        <v>3.97</v>
      </c>
    </row>
    <row r="378" spans="1:3" x14ac:dyDescent="0.3">
      <c r="A378" s="28">
        <v>43934</v>
      </c>
      <c r="B378" s="6" t="s">
        <v>33</v>
      </c>
      <c r="C378" s="4">
        <v>17.477352</v>
      </c>
    </row>
    <row r="379" spans="1:3" x14ac:dyDescent="0.3">
      <c r="A379" s="28">
        <v>43934</v>
      </c>
      <c r="B379" s="6" t="s">
        <v>34</v>
      </c>
      <c r="C379" s="4">
        <v>14.77</v>
      </c>
    </row>
    <row r="380" spans="1:3" x14ac:dyDescent="0.3">
      <c r="A380" s="28">
        <v>43934</v>
      </c>
      <c r="B380" s="6" t="s">
        <v>35</v>
      </c>
      <c r="C380" s="4">
        <v>24.959999</v>
      </c>
    </row>
    <row r="381" spans="1:3" x14ac:dyDescent="0.3">
      <c r="A381" s="28">
        <v>43934</v>
      </c>
      <c r="B381" s="6" t="s">
        <v>36</v>
      </c>
      <c r="C381" s="4">
        <v>41.946677999999999</v>
      </c>
    </row>
    <row r="382" spans="1:3" x14ac:dyDescent="0.3">
      <c r="A382" s="28">
        <v>43935</v>
      </c>
      <c r="B382" s="6" t="s">
        <v>27</v>
      </c>
      <c r="C382" s="4">
        <v>11.95</v>
      </c>
    </row>
    <row r="383" spans="1:3" x14ac:dyDescent="0.3">
      <c r="A383" s="28">
        <v>43935</v>
      </c>
      <c r="B383" s="6" t="s">
        <v>28</v>
      </c>
      <c r="C383" s="4">
        <v>39.659999999999997</v>
      </c>
    </row>
    <row r="384" spans="1:3" x14ac:dyDescent="0.3">
      <c r="A384" s="28">
        <v>43935</v>
      </c>
      <c r="B384" s="6" t="s">
        <v>29</v>
      </c>
      <c r="C384" s="4">
        <v>61.580002</v>
      </c>
    </row>
    <row r="385" spans="1:3" x14ac:dyDescent="0.3">
      <c r="A385" s="28">
        <v>43935</v>
      </c>
      <c r="B385" s="6" t="s">
        <v>30</v>
      </c>
      <c r="C385" s="4">
        <v>34.779998999999997</v>
      </c>
    </row>
    <row r="386" spans="1:3" x14ac:dyDescent="0.3">
      <c r="A386" s="28">
        <v>43935</v>
      </c>
      <c r="B386" s="6" t="s">
        <v>31</v>
      </c>
      <c r="C386" s="4">
        <v>1.83</v>
      </c>
    </row>
    <row r="387" spans="1:3" x14ac:dyDescent="0.3">
      <c r="A387" s="28">
        <v>43935</v>
      </c>
      <c r="B387" s="6" t="s">
        <v>32</v>
      </c>
      <c r="C387" s="4">
        <v>3.7</v>
      </c>
    </row>
    <row r="388" spans="1:3" x14ac:dyDescent="0.3">
      <c r="A388" s="28">
        <v>43935</v>
      </c>
      <c r="B388" s="6" t="s">
        <v>33</v>
      </c>
      <c r="C388" s="4">
        <v>18.275358000000001</v>
      </c>
    </row>
    <row r="389" spans="1:3" x14ac:dyDescent="0.3">
      <c r="A389" s="28">
        <v>43935</v>
      </c>
      <c r="B389" s="6" t="s">
        <v>34</v>
      </c>
      <c r="C389" s="4">
        <v>15.38</v>
      </c>
    </row>
    <row r="390" spans="1:3" x14ac:dyDescent="0.3">
      <c r="A390" s="28">
        <v>43935</v>
      </c>
      <c r="B390" s="6" t="s">
        <v>35</v>
      </c>
      <c r="C390" s="4">
        <v>25.32</v>
      </c>
    </row>
    <row r="391" spans="1:3" x14ac:dyDescent="0.3">
      <c r="A391" s="28">
        <v>43935</v>
      </c>
      <c r="B391" s="6" t="s">
        <v>36</v>
      </c>
      <c r="C391" s="4">
        <v>41.622959000000002</v>
      </c>
    </row>
    <row r="392" spans="1:3" x14ac:dyDescent="0.3">
      <c r="A392" s="28">
        <v>43936</v>
      </c>
      <c r="B392" s="6" t="s">
        <v>27</v>
      </c>
      <c r="C392" s="4">
        <v>12.29</v>
      </c>
    </row>
    <row r="393" spans="1:3" x14ac:dyDescent="0.3">
      <c r="A393" s="28">
        <v>43936</v>
      </c>
      <c r="B393" s="6" t="s">
        <v>28</v>
      </c>
      <c r="C393" s="4">
        <v>39.75</v>
      </c>
    </row>
    <row r="394" spans="1:3" x14ac:dyDescent="0.3">
      <c r="A394" s="28">
        <v>43936</v>
      </c>
      <c r="B394" s="6" t="s">
        <v>29</v>
      </c>
      <c r="C394" s="4">
        <v>60.560001</v>
      </c>
    </row>
    <row r="395" spans="1:3" x14ac:dyDescent="0.3">
      <c r="A395" s="28">
        <v>43936</v>
      </c>
      <c r="B395" s="6" t="s">
        <v>30</v>
      </c>
      <c r="C395" s="4">
        <v>32.82</v>
      </c>
    </row>
    <row r="396" spans="1:3" x14ac:dyDescent="0.3">
      <c r="A396" s="28">
        <v>43936</v>
      </c>
      <c r="B396" s="6" t="s">
        <v>31</v>
      </c>
      <c r="C396" s="4">
        <v>1.67</v>
      </c>
    </row>
    <row r="397" spans="1:3" x14ac:dyDescent="0.3">
      <c r="A397" s="28">
        <v>43936</v>
      </c>
      <c r="B397" s="6" t="s">
        <v>32</v>
      </c>
      <c r="C397" s="4">
        <v>3.32</v>
      </c>
    </row>
    <row r="398" spans="1:3" x14ac:dyDescent="0.3">
      <c r="A398" s="28">
        <v>43936</v>
      </c>
      <c r="B398" s="6" t="s">
        <v>33</v>
      </c>
      <c r="C398" s="4">
        <v>16.768011000000001</v>
      </c>
    </row>
    <row r="399" spans="1:3" x14ac:dyDescent="0.3">
      <c r="A399" s="28">
        <v>43936</v>
      </c>
      <c r="B399" s="6" t="s">
        <v>34</v>
      </c>
      <c r="C399" s="4">
        <v>14.42</v>
      </c>
    </row>
    <row r="400" spans="1:3" x14ac:dyDescent="0.3">
      <c r="A400" s="28">
        <v>43936</v>
      </c>
      <c r="B400" s="6" t="s">
        <v>35</v>
      </c>
      <c r="C400" s="4">
        <v>28.030000999999999</v>
      </c>
    </row>
    <row r="401" spans="1:3" x14ac:dyDescent="0.3">
      <c r="A401" s="28">
        <v>43936</v>
      </c>
      <c r="B401" s="6" t="s">
        <v>36</v>
      </c>
      <c r="C401" s="4">
        <v>39.710048999999998</v>
      </c>
    </row>
    <row r="402" spans="1:3" x14ac:dyDescent="0.3">
      <c r="A402" s="28">
        <v>43937</v>
      </c>
      <c r="B402" s="6" t="s">
        <v>27</v>
      </c>
      <c r="C402" s="4">
        <v>11.07</v>
      </c>
    </row>
    <row r="403" spans="1:3" x14ac:dyDescent="0.3">
      <c r="A403" s="28">
        <v>43937</v>
      </c>
      <c r="B403" s="6" t="s">
        <v>28</v>
      </c>
      <c r="C403" s="4">
        <v>35.869999</v>
      </c>
    </row>
    <row r="404" spans="1:3" x14ac:dyDescent="0.3">
      <c r="A404" s="28">
        <v>43937</v>
      </c>
      <c r="B404" s="6" t="s">
        <v>29</v>
      </c>
      <c r="C404" s="4">
        <v>58.220001000000003</v>
      </c>
    </row>
    <row r="405" spans="1:3" x14ac:dyDescent="0.3">
      <c r="A405" s="28">
        <v>43937</v>
      </c>
      <c r="B405" s="6" t="s">
        <v>30</v>
      </c>
      <c r="C405" s="4">
        <v>30.68</v>
      </c>
    </row>
    <row r="406" spans="1:3" x14ac:dyDescent="0.3">
      <c r="A406" s="28">
        <v>43937</v>
      </c>
      <c r="B406" s="6" t="s">
        <v>31</v>
      </c>
      <c r="C406" s="4">
        <v>1.56</v>
      </c>
    </row>
    <row r="407" spans="1:3" x14ac:dyDescent="0.3">
      <c r="A407" s="28">
        <v>43937</v>
      </c>
      <c r="B407" s="6" t="s">
        <v>32</v>
      </c>
      <c r="C407" s="4">
        <v>2.92</v>
      </c>
    </row>
    <row r="408" spans="1:3" x14ac:dyDescent="0.3">
      <c r="A408" s="28">
        <v>43937</v>
      </c>
      <c r="B408" s="6" t="s">
        <v>33</v>
      </c>
      <c r="C408" s="4">
        <v>16.068522999999999</v>
      </c>
    </row>
    <row r="409" spans="1:3" x14ac:dyDescent="0.3">
      <c r="A409" s="28">
        <v>43937</v>
      </c>
      <c r="B409" s="6" t="s">
        <v>34</v>
      </c>
      <c r="C409" s="4">
        <v>14.41</v>
      </c>
    </row>
    <row r="410" spans="1:3" x14ac:dyDescent="0.3">
      <c r="A410" s="28">
        <v>43937</v>
      </c>
      <c r="B410" s="6" t="s">
        <v>35</v>
      </c>
      <c r="C410" s="4">
        <v>29.379999000000002</v>
      </c>
    </row>
    <row r="411" spans="1:3" x14ac:dyDescent="0.3">
      <c r="A411" s="28">
        <v>43937</v>
      </c>
      <c r="B411" s="6" t="s">
        <v>36</v>
      </c>
      <c r="C411" s="4">
        <v>38.405346000000002</v>
      </c>
    </row>
    <row r="412" spans="1:3" x14ac:dyDescent="0.3">
      <c r="A412" s="28">
        <v>43938</v>
      </c>
      <c r="B412" s="6" t="s">
        <v>27</v>
      </c>
      <c r="C412" s="4">
        <v>11.57</v>
      </c>
    </row>
    <row r="413" spans="1:3" x14ac:dyDescent="0.3">
      <c r="A413" s="28">
        <v>43938</v>
      </c>
      <c r="B413" s="6" t="s">
        <v>28</v>
      </c>
      <c r="C413" s="4">
        <v>36.75</v>
      </c>
    </row>
    <row r="414" spans="1:3" x14ac:dyDescent="0.3">
      <c r="A414" s="28">
        <v>43938</v>
      </c>
      <c r="B414" s="6" t="s">
        <v>29</v>
      </c>
      <c r="C414" s="4">
        <v>63.220001000000003</v>
      </c>
    </row>
    <row r="415" spans="1:3" x14ac:dyDescent="0.3">
      <c r="A415" s="28">
        <v>43938</v>
      </c>
      <c r="B415" s="6" t="s">
        <v>30</v>
      </c>
      <c r="C415" s="4">
        <v>31.190000999999999</v>
      </c>
    </row>
    <row r="416" spans="1:3" x14ac:dyDescent="0.3">
      <c r="A416" s="28">
        <v>43938</v>
      </c>
      <c r="B416" s="6" t="s">
        <v>31</v>
      </c>
      <c r="C416" s="4">
        <v>1.78</v>
      </c>
    </row>
    <row r="417" spans="1:3" x14ac:dyDescent="0.3">
      <c r="A417" s="28">
        <v>43938</v>
      </c>
      <c r="B417" s="6" t="s">
        <v>32</v>
      </c>
      <c r="C417" s="4">
        <v>3.4</v>
      </c>
    </row>
    <row r="418" spans="1:3" x14ac:dyDescent="0.3">
      <c r="A418" s="28">
        <v>43938</v>
      </c>
      <c r="B418" s="6" t="s">
        <v>33</v>
      </c>
      <c r="C418" s="4">
        <v>16.708898999999999</v>
      </c>
    </row>
    <row r="419" spans="1:3" x14ac:dyDescent="0.3">
      <c r="A419" s="28">
        <v>43938</v>
      </c>
      <c r="B419" s="6" t="s">
        <v>34</v>
      </c>
      <c r="C419" s="4">
        <v>15.22</v>
      </c>
    </row>
    <row r="420" spans="1:3" x14ac:dyDescent="0.3">
      <c r="A420" s="28">
        <v>43938</v>
      </c>
      <c r="B420" s="6" t="s">
        <v>35</v>
      </c>
      <c r="C420" s="4">
        <v>28.1</v>
      </c>
    </row>
    <row r="421" spans="1:3" x14ac:dyDescent="0.3">
      <c r="A421" s="28">
        <v>43938</v>
      </c>
      <c r="B421" s="6" t="s">
        <v>36</v>
      </c>
      <c r="C421" s="4">
        <v>42.397933999999999</v>
      </c>
    </row>
    <row r="422" spans="1:3" x14ac:dyDescent="0.3">
      <c r="A422" s="28">
        <v>43941</v>
      </c>
      <c r="B422" s="6" t="s">
        <v>27</v>
      </c>
      <c r="C422" s="4">
        <v>11.06</v>
      </c>
    </row>
    <row r="423" spans="1:3" x14ac:dyDescent="0.3">
      <c r="A423" s="28">
        <v>43941</v>
      </c>
      <c r="B423" s="6" t="s">
        <v>28</v>
      </c>
      <c r="C423" s="4">
        <v>36.419998</v>
      </c>
    </row>
    <row r="424" spans="1:3" x14ac:dyDescent="0.3">
      <c r="A424" s="28">
        <v>43941</v>
      </c>
      <c r="B424" s="6" t="s">
        <v>29</v>
      </c>
      <c r="C424" s="4">
        <v>59.950001</v>
      </c>
    </row>
    <row r="425" spans="1:3" x14ac:dyDescent="0.3">
      <c r="A425" s="28">
        <v>43941</v>
      </c>
      <c r="B425" s="6" t="s">
        <v>30</v>
      </c>
      <c r="C425" s="4">
        <v>31.059999000000001</v>
      </c>
    </row>
    <row r="426" spans="1:3" x14ac:dyDescent="0.3">
      <c r="A426" s="28">
        <v>43941</v>
      </c>
      <c r="B426" s="6" t="s">
        <v>31</v>
      </c>
      <c r="C426" s="4">
        <v>1.68</v>
      </c>
    </row>
    <row r="427" spans="1:3" x14ac:dyDescent="0.3">
      <c r="A427" s="28">
        <v>43941</v>
      </c>
      <c r="B427" s="6" t="s">
        <v>32</v>
      </c>
      <c r="C427" s="4">
        <v>3</v>
      </c>
    </row>
    <row r="428" spans="1:3" x14ac:dyDescent="0.3">
      <c r="A428" s="28">
        <v>43941</v>
      </c>
      <c r="B428" s="6" t="s">
        <v>33</v>
      </c>
      <c r="C428" s="4">
        <v>16.137485999999999</v>
      </c>
    </row>
    <row r="429" spans="1:3" x14ac:dyDescent="0.3">
      <c r="A429" s="28">
        <v>43941</v>
      </c>
      <c r="B429" s="6" t="s">
        <v>34</v>
      </c>
      <c r="C429" s="4">
        <v>14.21</v>
      </c>
    </row>
    <row r="430" spans="1:3" x14ac:dyDescent="0.3">
      <c r="A430" s="28">
        <v>43941</v>
      </c>
      <c r="B430" s="6" t="s">
        <v>35</v>
      </c>
      <c r="C430" s="4">
        <v>29.25</v>
      </c>
    </row>
    <row r="431" spans="1:3" x14ac:dyDescent="0.3">
      <c r="A431" s="28">
        <v>43941</v>
      </c>
      <c r="B431" s="6" t="s">
        <v>36</v>
      </c>
      <c r="C431" s="4">
        <v>40.396732</v>
      </c>
    </row>
    <row r="432" spans="1:3" x14ac:dyDescent="0.3">
      <c r="A432" s="28">
        <v>43942</v>
      </c>
      <c r="B432" s="6" t="s">
        <v>27</v>
      </c>
      <c r="C432" s="4">
        <v>11</v>
      </c>
    </row>
    <row r="433" spans="1:3" x14ac:dyDescent="0.3">
      <c r="A433" s="28">
        <v>43942</v>
      </c>
      <c r="B433" s="6" t="s">
        <v>28</v>
      </c>
      <c r="C433" s="4">
        <v>35.659999999999997</v>
      </c>
    </row>
    <row r="434" spans="1:3" x14ac:dyDescent="0.3">
      <c r="A434" s="28">
        <v>43942</v>
      </c>
      <c r="B434" s="6" t="s">
        <v>29</v>
      </c>
      <c r="C434" s="4">
        <v>57.25</v>
      </c>
    </row>
    <row r="435" spans="1:3" x14ac:dyDescent="0.3">
      <c r="A435" s="28">
        <v>43942</v>
      </c>
      <c r="B435" s="6" t="s">
        <v>30</v>
      </c>
      <c r="C435" s="4">
        <v>30.110001</v>
      </c>
    </row>
    <row r="436" spans="1:3" x14ac:dyDescent="0.3">
      <c r="A436" s="28">
        <v>43942</v>
      </c>
      <c r="B436" s="6" t="s">
        <v>31</v>
      </c>
      <c r="C436" s="4">
        <v>1.67</v>
      </c>
    </row>
    <row r="437" spans="1:3" x14ac:dyDescent="0.3">
      <c r="A437" s="28">
        <v>43942</v>
      </c>
      <c r="B437" s="6" t="s">
        <v>32</v>
      </c>
      <c r="C437" s="4">
        <v>3.01</v>
      </c>
    </row>
    <row r="438" spans="1:3" x14ac:dyDescent="0.3">
      <c r="A438" s="28">
        <v>43942</v>
      </c>
      <c r="B438" s="6" t="s">
        <v>33</v>
      </c>
      <c r="C438" s="4">
        <v>15.477406999999999</v>
      </c>
    </row>
    <row r="439" spans="1:3" x14ac:dyDescent="0.3">
      <c r="A439" s="28">
        <v>43942</v>
      </c>
      <c r="B439" s="6" t="s">
        <v>34</v>
      </c>
      <c r="C439" s="4">
        <v>13.75</v>
      </c>
    </row>
    <row r="440" spans="1:3" x14ac:dyDescent="0.3">
      <c r="A440" s="28">
        <v>43942</v>
      </c>
      <c r="B440" s="6" t="s">
        <v>35</v>
      </c>
      <c r="C440" s="4">
        <v>26.459999</v>
      </c>
    </row>
    <row r="441" spans="1:3" x14ac:dyDescent="0.3">
      <c r="A441" s="28">
        <v>43942</v>
      </c>
      <c r="B441" s="6" t="s">
        <v>36</v>
      </c>
      <c r="C441" s="4">
        <v>40.180916000000003</v>
      </c>
    </row>
    <row r="442" spans="1:3" x14ac:dyDescent="0.3">
      <c r="A442" s="28">
        <v>43943</v>
      </c>
      <c r="B442" s="6" t="s">
        <v>27</v>
      </c>
      <c r="C442" s="4">
        <v>10.27</v>
      </c>
    </row>
    <row r="443" spans="1:3" x14ac:dyDescent="0.3">
      <c r="A443" s="28">
        <v>43943</v>
      </c>
      <c r="B443" s="6" t="s">
        <v>28</v>
      </c>
      <c r="C443" s="4">
        <v>36.799999</v>
      </c>
    </row>
    <row r="444" spans="1:3" x14ac:dyDescent="0.3">
      <c r="A444" s="28">
        <v>43943</v>
      </c>
      <c r="B444" s="6" t="s">
        <v>29</v>
      </c>
      <c r="C444" s="4">
        <v>61.419998</v>
      </c>
    </row>
    <row r="445" spans="1:3" x14ac:dyDescent="0.3">
      <c r="A445" s="28">
        <v>43943</v>
      </c>
      <c r="B445" s="6" t="s">
        <v>30</v>
      </c>
      <c r="C445" s="4">
        <v>29.709999</v>
      </c>
    </row>
    <row r="446" spans="1:3" x14ac:dyDescent="0.3">
      <c r="A446" s="28">
        <v>43943</v>
      </c>
      <c r="B446" s="6" t="s">
        <v>31</v>
      </c>
      <c r="C446" s="4">
        <v>1.67</v>
      </c>
    </row>
    <row r="447" spans="1:3" x14ac:dyDescent="0.3">
      <c r="A447" s="28">
        <v>43943</v>
      </c>
      <c r="B447" s="6" t="s">
        <v>32</v>
      </c>
      <c r="C447" s="4">
        <v>3.16</v>
      </c>
    </row>
    <row r="448" spans="1:3" x14ac:dyDescent="0.3">
      <c r="A448" s="28">
        <v>43943</v>
      </c>
      <c r="B448" s="6" t="s">
        <v>33</v>
      </c>
      <c r="C448" s="4">
        <v>15.506962</v>
      </c>
    </row>
    <row r="449" spans="1:3" x14ac:dyDescent="0.3">
      <c r="A449" s="28">
        <v>43943</v>
      </c>
      <c r="B449" s="6" t="s">
        <v>34</v>
      </c>
      <c r="C449" s="4">
        <v>13.41</v>
      </c>
    </row>
    <row r="450" spans="1:3" x14ac:dyDescent="0.3">
      <c r="A450" s="28">
        <v>43943</v>
      </c>
      <c r="B450" s="6" t="s">
        <v>35</v>
      </c>
      <c r="C450" s="4">
        <v>26.16</v>
      </c>
    </row>
    <row r="451" spans="1:3" x14ac:dyDescent="0.3">
      <c r="A451" s="28">
        <v>43943</v>
      </c>
      <c r="B451" s="6" t="s">
        <v>36</v>
      </c>
      <c r="C451" s="4">
        <v>41.328667000000003</v>
      </c>
    </row>
    <row r="452" spans="1:3" x14ac:dyDescent="0.3">
      <c r="A452" s="28">
        <v>43944</v>
      </c>
      <c r="B452" s="6" t="s">
        <v>27</v>
      </c>
      <c r="C452" s="4">
        <v>10.25</v>
      </c>
    </row>
    <row r="453" spans="1:3" x14ac:dyDescent="0.3">
      <c r="A453" s="28">
        <v>43944</v>
      </c>
      <c r="B453" s="6" t="s">
        <v>28</v>
      </c>
      <c r="C453" s="4">
        <v>37.82</v>
      </c>
    </row>
    <row r="454" spans="1:3" x14ac:dyDescent="0.3">
      <c r="A454" s="28">
        <v>43944</v>
      </c>
      <c r="B454" s="6" t="s">
        <v>29</v>
      </c>
      <c r="C454" s="4">
        <v>63.369999</v>
      </c>
    </row>
    <row r="455" spans="1:3" x14ac:dyDescent="0.3">
      <c r="A455" s="28">
        <v>43944</v>
      </c>
      <c r="B455" s="6" t="s">
        <v>30</v>
      </c>
      <c r="C455" s="4">
        <v>30.139999</v>
      </c>
    </row>
    <row r="456" spans="1:3" x14ac:dyDescent="0.3">
      <c r="A456" s="28">
        <v>43944</v>
      </c>
      <c r="B456" s="6" t="s">
        <v>31</v>
      </c>
      <c r="C456" s="4">
        <v>1.63</v>
      </c>
    </row>
    <row r="457" spans="1:3" x14ac:dyDescent="0.3">
      <c r="A457" s="28">
        <v>43944</v>
      </c>
      <c r="B457" s="6" t="s">
        <v>32</v>
      </c>
      <c r="C457" s="4">
        <v>3.45</v>
      </c>
    </row>
    <row r="458" spans="1:3" x14ac:dyDescent="0.3">
      <c r="A458" s="28">
        <v>43944</v>
      </c>
      <c r="B458" s="6" t="s">
        <v>33</v>
      </c>
      <c r="C458" s="4">
        <v>15.418295000000001</v>
      </c>
    </row>
    <row r="459" spans="1:3" x14ac:dyDescent="0.3">
      <c r="A459" s="28">
        <v>43944</v>
      </c>
      <c r="B459" s="6" t="s">
        <v>34</v>
      </c>
      <c r="C459" s="4">
        <v>13.77</v>
      </c>
    </row>
    <row r="460" spans="1:3" x14ac:dyDescent="0.3">
      <c r="A460" s="28">
        <v>43944</v>
      </c>
      <c r="B460" s="6" t="s">
        <v>35</v>
      </c>
      <c r="C460" s="4">
        <v>26.530000999999999</v>
      </c>
    </row>
    <row r="461" spans="1:3" x14ac:dyDescent="0.3">
      <c r="A461" s="28">
        <v>43944</v>
      </c>
      <c r="B461" s="6" t="s">
        <v>36</v>
      </c>
      <c r="C461" s="4">
        <v>42.623558000000003</v>
      </c>
    </row>
    <row r="462" spans="1:3" x14ac:dyDescent="0.3">
      <c r="A462" s="28">
        <v>43945</v>
      </c>
      <c r="B462" s="6" t="s">
        <v>27</v>
      </c>
      <c r="C462" s="4">
        <v>10.31</v>
      </c>
    </row>
    <row r="463" spans="1:3" x14ac:dyDescent="0.3">
      <c r="A463" s="28">
        <v>43945</v>
      </c>
      <c r="B463" s="6" t="s">
        <v>28</v>
      </c>
      <c r="C463" s="4">
        <v>39.470001000000003</v>
      </c>
    </row>
    <row r="464" spans="1:3" x14ac:dyDescent="0.3">
      <c r="A464" s="28">
        <v>43945</v>
      </c>
      <c r="B464" s="6" t="s">
        <v>29</v>
      </c>
      <c r="C464" s="4">
        <v>66.569999999999993</v>
      </c>
    </row>
    <row r="465" spans="1:3" x14ac:dyDescent="0.3">
      <c r="A465" s="28">
        <v>43945</v>
      </c>
      <c r="B465" s="6" t="s">
        <v>30</v>
      </c>
      <c r="C465" s="4">
        <v>29.33</v>
      </c>
    </row>
    <row r="466" spans="1:3" x14ac:dyDescent="0.3">
      <c r="A466" s="28">
        <v>43945</v>
      </c>
      <c r="B466" s="6" t="s">
        <v>31</v>
      </c>
      <c r="C466" s="4">
        <v>1.57</v>
      </c>
    </row>
    <row r="467" spans="1:3" x14ac:dyDescent="0.3">
      <c r="A467" s="28">
        <v>43945</v>
      </c>
      <c r="B467" s="6" t="s">
        <v>32</v>
      </c>
      <c r="C467" s="4">
        <v>3.61</v>
      </c>
    </row>
    <row r="468" spans="1:3" x14ac:dyDescent="0.3">
      <c r="A468" s="28">
        <v>43945</v>
      </c>
      <c r="B468" s="6" t="s">
        <v>33</v>
      </c>
      <c r="C468" s="4">
        <v>15.556222</v>
      </c>
    </row>
    <row r="469" spans="1:3" x14ac:dyDescent="0.3">
      <c r="A469" s="28">
        <v>43945</v>
      </c>
      <c r="B469" s="6" t="s">
        <v>34</v>
      </c>
      <c r="C469" s="4">
        <v>13.64</v>
      </c>
    </row>
    <row r="470" spans="1:3" x14ac:dyDescent="0.3">
      <c r="A470" s="28">
        <v>43945</v>
      </c>
      <c r="B470" s="6" t="s">
        <v>35</v>
      </c>
      <c r="C470" s="4">
        <v>26.059999000000001</v>
      </c>
    </row>
    <row r="471" spans="1:3" x14ac:dyDescent="0.3">
      <c r="A471" s="28">
        <v>43945</v>
      </c>
      <c r="B471" s="6" t="s">
        <v>36</v>
      </c>
      <c r="C471" s="4">
        <v>42.898232</v>
      </c>
    </row>
    <row r="472" spans="1:3" x14ac:dyDescent="0.3">
      <c r="A472" s="28">
        <v>43948</v>
      </c>
      <c r="B472" s="6" t="s">
        <v>27</v>
      </c>
      <c r="C472" s="4">
        <v>10.02</v>
      </c>
    </row>
    <row r="473" spans="1:3" x14ac:dyDescent="0.3">
      <c r="A473" s="28">
        <v>43948</v>
      </c>
      <c r="B473" s="6" t="s">
        <v>28</v>
      </c>
      <c r="C473" s="4">
        <v>41.849997999999999</v>
      </c>
    </row>
    <row r="474" spans="1:3" x14ac:dyDescent="0.3">
      <c r="A474" s="28">
        <v>43948</v>
      </c>
      <c r="B474" s="6" t="s">
        <v>29</v>
      </c>
      <c r="C474" s="4">
        <v>69.150002000000001</v>
      </c>
    </row>
    <row r="475" spans="1:3" x14ac:dyDescent="0.3">
      <c r="A475" s="28">
        <v>43948</v>
      </c>
      <c r="B475" s="6" t="s">
        <v>30</v>
      </c>
      <c r="C475" s="4">
        <v>29.110001</v>
      </c>
    </row>
    <row r="476" spans="1:3" x14ac:dyDescent="0.3">
      <c r="A476" s="28">
        <v>43948</v>
      </c>
      <c r="B476" s="6" t="s">
        <v>31</v>
      </c>
      <c r="C476" s="4">
        <v>1.64</v>
      </c>
    </row>
    <row r="477" spans="1:3" x14ac:dyDescent="0.3">
      <c r="A477" s="28">
        <v>43948</v>
      </c>
      <c r="B477" s="6" t="s">
        <v>32</v>
      </c>
      <c r="C477" s="4">
        <v>4.08</v>
      </c>
    </row>
    <row r="478" spans="1:3" x14ac:dyDescent="0.3">
      <c r="A478" s="28">
        <v>43948</v>
      </c>
      <c r="B478" s="6" t="s">
        <v>33</v>
      </c>
      <c r="C478" s="4">
        <v>16.787716</v>
      </c>
    </row>
    <row r="479" spans="1:3" x14ac:dyDescent="0.3">
      <c r="A479" s="28">
        <v>43948</v>
      </c>
      <c r="B479" s="6" t="s">
        <v>34</v>
      </c>
      <c r="C479" s="4">
        <v>15.05</v>
      </c>
    </row>
    <row r="480" spans="1:3" x14ac:dyDescent="0.3">
      <c r="A480" s="28">
        <v>43948</v>
      </c>
      <c r="B480" s="6" t="s">
        <v>35</v>
      </c>
      <c r="C480" s="4">
        <v>27.309999000000001</v>
      </c>
    </row>
    <row r="481" spans="1:3" x14ac:dyDescent="0.3">
      <c r="A481" s="28">
        <v>43948</v>
      </c>
      <c r="B481" s="6" t="s">
        <v>36</v>
      </c>
      <c r="C481" s="4">
        <v>43.104236999999998</v>
      </c>
    </row>
    <row r="482" spans="1:3" x14ac:dyDescent="0.3">
      <c r="A482" s="28">
        <v>43949</v>
      </c>
      <c r="B482" s="6" t="s">
        <v>27</v>
      </c>
      <c r="C482" s="4">
        <v>11.26</v>
      </c>
    </row>
    <row r="483" spans="1:3" x14ac:dyDescent="0.3">
      <c r="A483" s="28">
        <v>43949</v>
      </c>
      <c r="B483" s="6" t="s">
        <v>28</v>
      </c>
      <c r="C483" s="4">
        <v>41.150002000000001</v>
      </c>
    </row>
    <row r="484" spans="1:3" x14ac:dyDescent="0.3">
      <c r="A484" s="28">
        <v>43949</v>
      </c>
      <c r="B484" s="6" t="s">
        <v>29</v>
      </c>
      <c r="C484" s="4">
        <v>71.839995999999999</v>
      </c>
    </row>
    <row r="485" spans="1:3" x14ac:dyDescent="0.3">
      <c r="A485" s="28">
        <v>43949</v>
      </c>
      <c r="B485" s="6" t="s">
        <v>30</v>
      </c>
      <c r="C485" s="4">
        <v>29.690000999999999</v>
      </c>
    </row>
    <row r="486" spans="1:3" x14ac:dyDescent="0.3">
      <c r="A486" s="28">
        <v>43949</v>
      </c>
      <c r="B486" s="6" t="s">
        <v>31</v>
      </c>
      <c r="C486" s="4">
        <v>1.8</v>
      </c>
    </row>
    <row r="487" spans="1:3" x14ac:dyDescent="0.3">
      <c r="A487" s="28">
        <v>43949</v>
      </c>
      <c r="B487" s="6" t="s">
        <v>32</v>
      </c>
      <c r="C487" s="4">
        <v>4.34</v>
      </c>
    </row>
    <row r="488" spans="1:3" x14ac:dyDescent="0.3">
      <c r="A488" s="28">
        <v>43949</v>
      </c>
      <c r="B488" s="6" t="s">
        <v>33</v>
      </c>
      <c r="C488" s="4">
        <v>17.802465000000002</v>
      </c>
    </row>
    <row r="489" spans="1:3" x14ac:dyDescent="0.3">
      <c r="A489" s="28">
        <v>43949</v>
      </c>
      <c r="B489" s="6" t="s">
        <v>34</v>
      </c>
      <c r="C489" s="4">
        <v>16.110001</v>
      </c>
    </row>
    <row r="490" spans="1:3" x14ac:dyDescent="0.3">
      <c r="A490" s="28">
        <v>43949</v>
      </c>
      <c r="B490" s="6" t="s">
        <v>35</v>
      </c>
      <c r="C490" s="4">
        <v>26.879999000000002</v>
      </c>
    </row>
    <row r="491" spans="1:3" x14ac:dyDescent="0.3">
      <c r="A491" s="28">
        <v>43949</v>
      </c>
      <c r="B491" s="6" t="s">
        <v>36</v>
      </c>
      <c r="C491" s="4">
        <v>44.114646999999998</v>
      </c>
    </row>
    <row r="492" spans="1:3" x14ac:dyDescent="0.3">
      <c r="A492" s="28">
        <v>43950</v>
      </c>
      <c r="B492" s="6" t="s">
        <v>27</v>
      </c>
      <c r="C492" s="4">
        <v>12.63</v>
      </c>
    </row>
    <row r="493" spans="1:3" x14ac:dyDescent="0.3">
      <c r="A493" s="28">
        <v>43950</v>
      </c>
      <c r="B493" s="6" t="s">
        <v>28</v>
      </c>
      <c r="C493" s="4">
        <v>42.02</v>
      </c>
    </row>
    <row r="494" spans="1:3" x14ac:dyDescent="0.3">
      <c r="A494" s="28">
        <v>43950</v>
      </c>
      <c r="B494" s="6" t="s">
        <v>29</v>
      </c>
      <c r="C494" s="4">
        <v>74.830001999999993</v>
      </c>
    </row>
    <row r="495" spans="1:3" x14ac:dyDescent="0.3">
      <c r="A495" s="28">
        <v>43950</v>
      </c>
      <c r="B495" s="6" t="s">
        <v>30</v>
      </c>
      <c r="C495" s="4">
        <v>30.969999000000001</v>
      </c>
    </row>
    <row r="496" spans="1:3" x14ac:dyDescent="0.3">
      <c r="A496" s="28">
        <v>43950</v>
      </c>
      <c r="B496" s="6" t="s">
        <v>31</v>
      </c>
      <c r="C496" s="4">
        <v>1.9</v>
      </c>
    </row>
    <row r="497" spans="1:3" x14ac:dyDescent="0.3">
      <c r="A497" s="28">
        <v>43950</v>
      </c>
      <c r="B497" s="6" t="s">
        <v>32</v>
      </c>
      <c r="C497" s="4">
        <v>5.13</v>
      </c>
    </row>
    <row r="498" spans="1:3" x14ac:dyDescent="0.3">
      <c r="A498" s="28">
        <v>43950</v>
      </c>
      <c r="B498" s="6" t="s">
        <v>33</v>
      </c>
      <c r="C498" s="4">
        <v>19.763002</v>
      </c>
    </row>
    <row r="499" spans="1:3" x14ac:dyDescent="0.3">
      <c r="A499" s="28">
        <v>43950</v>
      </c>
      <c r="B499" s="6" t="s">
        <v>34</v>
      </c>
      <c r="C499" s="4">
        <v>17.049999</v>
      </c>
    </row>
    <row r="500" spans="1:3" x14ac:dyDescent="0.3">
      <c r="A500" s="28">
        <v>43950</v>
      </c>
      <c r="B500" s="6" t="s">
        <v>35</v>
      </c>
      <c r="C500" s="4">
        <v>27.07</v>
      </c>
    </row>
    <row r="501" spans="1:3" x14ac:dyDescent="0.3">
      <c r="A501" s="28">
        <v>43950</v>
      </c>
      <c r="B501" s="6" t="s">
        <v>36</v>
      </c>
      <c r="C501" s="4">
        <v>46.557285</v>
      </c>
    </row>
    <row r="502" spans="1:3" x14ac:dyDescent="0.3">
      <c r="A502" s="28">
        <v>43951</v>
      </c>
      <c r="B502" s="6" t="s">
        <v>27</v>
      </c>
      <c r="C502" s="4">
        <v>12.01</v>
      </c>
    </row>
    <row r="503" spans="1:3" x14ac:dyDescent="0.3">
      <c r="A503" s="28">
        <v>43951</v>
      </c>
      <c r="B503" s="6" t="s">
        <v>28</v>
      </c>
      <c r="C503" s="4">
        <v>42.75</v>
      </c>
    </row>
    <row r="504" spans="1:3" x14ac:dyDescent="0.3">
      <c r="A504" s="28">
        <v>43951</v>
      </c>
      <c r="B504" s="6" t="s">
        <v>29</v>
      </c>
      <c r="C504" s="4">
        <v>70.980002999999996</v>
      </c>
    </row>
    <row r="505" spans="1:3" x14ac:dyDescent="0.3">
      <c r="A505" s="28">
        <v>43951</v>
      </c>
      <c r="B505" s="6" t="s">
        <v>30</v>
      </c>
      <c r="C505" s="4">
        <v>31.25</v>
      </c>
    </row>
    <row r="506" spans="1:3" x14ac:dyDescent="0.3">
      <c r="A506" s="28">
        <v>43951</v>
      </c>
      <c r="B506" s="6" t="s">
        <v>31</v>
      </c>
      <c r="C506" s="4">
        <v>1.75</v>
      </c>
    </row>
    <row r="507" spans="1:3" x14ac:dyDescent="0.3">
      <c r="A507" s="28">
        <v>43951</v>
      </c>
      <c r="B507" s="6" t="s">
        <v>32</v>
      </c>
      <c r="C507" s="4">
        <v>4.78</v>
      </c>
    </row>
    <row r="508" spans="1:3" x14ac:dyDescent="0.3">
      <c r="A508" s="28">
        <v>43951</v>
      </c>
      <c r="B508" s="6" t="s">
        <v>33</v>
      </c>
      <c r="C508" s="4">
        <v>19.772853999999999</v>
      </c>
    </row>
    <row r="509" spans="1:3" x14ac:dyDescent="0.3">
      <c r="A509" s="28">
        <v>43951</v>
      </c>
      <c r="B509" s="6" t="s">
        <v>34</v>
      </c>
      <c r="C509" s="4">
        <v>14.88</v>
      </c>
    </row>
    <row r="510" spans="1:3" x14ac:dyDescent="0.3">
      <c r="A510" s="28">
        <v>43951</v>
      </c>
      <c r="B510" s="6" t="s">
        <v>35</v>
      </c>
      <c r="C510" s="4">
        <v>26.690000999999999</v>
      </c>
    </row>
    <row r="511" spans="1:3" x14ac:dyDescent="0.3">
      <c r="A511" s="28">
        <v>43951</v>
      </c>
      <c r="B511" s="6" t="s">
        <v>36</v>
      </c>
      <c r="C511" s="4">
        <v>45.586117000000002</v>
      </c>
    </row>
    <row r="512" spans="1:3" x14ac:dyDescent="0.3">
      <c r="A512" s="28">
        <v>43952</v>
      </c>
      <c r="B512" s="6" t="s">
        <v>27</v>
      </c>
      <c r="C512" s="4">
        <v>10.64</v>
      </c>
    </row>
    <row r="513" spans="1:3" x14ac:dyDescent="0.3">
      <c r="A513" s="28">
        <v>43952</v>
      </c>
      <c r="B513" s="6" t="s">
        <v>28</v>
      </c>
      <c r="C513" s="4">
        <v>42.360000999999997</v>
      </c>
    </row>
    <row r="514" spans="1:3" x14ac:dyDescent="0.3">
      <c r="A514" s="28">
        <v>43952</v>
      </c>
      <c r="B514" s="6" t="s">
        <v>29</v>
      </c>
      <c r="C514" s="4">
        <v>67.290001000000004</v>
      </c>
    </row>
    <row r="515" spans="1:3" x14ac:dyDescent="0.3">
      <c r="A515" s="28">
        <v>43952</v>
      </c>
      <c r="B515" s="6" t="s">
        <v>30</v>
      </c>
      <c r="C515" s="4">
        <v>29.23</v>
      </c>
    </row>
    <row r="516" spans="1:3" x14ac:dyDescent="0.3">
      <c r="A516" s="28">
        <v>43952</v>
      </c>
      <c r="B516" s="6" t="s">
        <v>31</v>
      </c>
      <c r="C516" s="4">
        <v>1.68</v>
      </c>
    </row>
    <row r="517" spans="1:3" x14ac:dyDescent="0.3">
      <c r="A517" s="28">
        <v>43952</v>
      </c>
      <c r="B517" s="6" t="s">
        <v>32</v>
      </c>
      <c r="C517" s="4">
        <v>4.21</v>
      </c>
    </row>
    <row r="518" spans="1:3" x14ac:dyDescent="0.3">
      <c r="A518" s="28">
        <v>43952</v>
      </c>
      <c r="B518" s="6" t="s">
        <v>33</v>
      </c>
      <c r="C518" s="4">
        <v>18.915737</v>
      </c>
    </row>
    <row r="519" spans="1:3" x14ac:dyDescent="0.3">
      <c r="A519" s="28">
        <v>43952</v>
      </c>
      <c r="B519" s="6" t="s">
        <v>34</v>
      </c>
      <c r="C519" s="4">
        <v>15.16</v>
      </c>
    </row>
    <row r="520" spans="1:3" x14ac:dyDescent="0.3">
      <c r="A520" s="28">
        <v>43952</v>
      </c>
      <c r="B520" s="6" t="s">
        <v>35</v>
      </c>
      <c r="C520" s="4">
        <v>26.379999000000002</v>
      </c>
    </row>
    <row r="521" spans="1:3" x14ac:dyDescent="0.3">
      <c r="A521" s="28">
        <v>43952</v>
      </c>
      <c r="B521" s="6" t="s">
        <v>36</v>
      </c>
      <c r="C521" s="4">
        <v>42.319454</v>
      </c>
    </row>
    <row r="522" spans="1:3" x14ac:dyDescent="0.3">
      <c r="A522" s="28">
        <v>43955</v>
      </c>
      <c r="B522" s="6" t="s">
        <v>27</v>
      </c>
      <c r="C522" s="4">
        <v>9.82</v>
      </c>
    </row>
    <row r="523" spans="1:3" x14ac:dyDescent="0.3">
      <c r="A523" s="28">
        <v>43955</v>
      </c>
      <c r="B523" s="6" t="s">
        <v>28</v>
      </c>
      <c r="C523" s="4">
        <v>43.790000999999997</v>
      </c>
    </row>
    <row r="524" spans="1:3" x14ac:dyDescent="0.3">
      <c r="A524" s="28">
        <v>43955</v>
      </c>
      <c r="B524" s="6" t="s">
        <v>29</v>
      </c>
      <c r="C524" s="4">
        <v>67.019997000000004</v>
      </c>
    </row>
    <row r="525" spans="1:3" x14ac:dyDescent="0.3">
      <c r="A525" s="28">
        <v>43955</v>
      </c>
      <c r="B525" s="6" t="s">
        <v>30</v>
      </c>
      <c r="C525" s="4">
        <v>27.559999000000001</v>
      </c>
    </row>
    <row r="526" spans="1:3" x14ac:dyDescent="0.3">
      <c r="A526" s="28">
        <v>43955</v>
      </c>
      <c r="B526" s="6" t="s">
        <v>31</v>
      </c>
      <c r="C526" s="4">
        <v>1.65</v>
      </c>
    </row>
    <row r="527" spans="1:3" x14ac:dyDescent="0.3">
      <c r="A527" s="28">
        <v>43955</v>
      </c>
      <c r="B527" s="6" t="s">
        <v>32</v>
      </c>
      <c r="C527" s="4">
        <v>4.55</v>
      </c>
    </row>
    <row r="528" spans="1:3" x14ac:dyDescent="0.3">
      <c r="A528" s="28">
        <v>43955</v>
      </c>
      <c r="B528" s="6" t="s">
        <v>33</v>
      </c>
      <c r="C528" s="4">
        <v>17.999506</v>
      </c>
    </row>
    <row r="529" spans="1:3" x14ac:dyDescent="0.3">
      <c r="A529" s="28">
        <v>43955</v>
      </c>
      <c r="B529" s="6" t="s">
        <v>34</v>
      </c>
      <c r="C529" s="4">
        <v>14.77</v>
      </c>
    </row>
    <row r="530" spans="1:3" x14ac:dyDescent="0.3">
      <c r="A530" s="28">
        <v>43955</v>
      </c>
      <c r="B530" s="6" t="s">
        <v>35</v>
      </c>
      <c r="C530" s="4">
        <v>27.200001</v>
      </c>
    </row>
    <row r="531" spans="1:3" x14ac:dyDescent="0.3">
      <c r="A531" s="28">
        <v>43955</v>
      </c>
      <c r="B531" s="6" t="s">
        <v>36</v>
      </c>
      <c r="C531" s="4">
        <v>44.026359999999997</v>
      </c>
    </row>
    <row r="532" spans="1:3" x14ac:dyDescent="0.3">
      <c r="A532" s="28">
        <v>43956</v>
      </c>
      <c r="B532" s="6" t="s">
        <v>27</v>
      </c>
      <c r="C532" s="4">
        <v>9.51</v>
      </c>
    </row>
    <row r="533" spans="1:3" x14ac:dyDescent="0.3">
      <c r="A533" s="28">
        <v>43956</v>
      </c>
      <c r="B533" s="6" t="s">
        <v>28</v>
      </c>
      <c r="C533" s="4">
        <v>57.919998</v>
      </c>
    </row>
    <row r="534" spans="1:3" x14ac:dyDescent="0.3">
      <c r="A534" s="28">
        <v>43956</v>
      </c>
      <c r="B534" s="6" t="s">
        <v>29</v>
      </c>
      <c r="C534" s="4">
        <v>64.080001999999993</v>
      </c>
    </row>
    <row r="535" spans="1:3" x14ac:dyDescent="0.3">
      <c r="A535" s="28">
        <v>43956</v>
      </c>
      <c r="B535" s="6" t="s">
        <v>30</v>
      </c>
      <c r="C535" s="4">
        <v>26.42</v>
      </c>
    </row>
    <row r="536" spans="1:3" x14ac:dyDescent="0.3">
      <c r="A536" s="28">
        <v>43956</v>
      </c>
      <c r="B536" s="6" t="s">
        <v>31</v>
      </c>
      <c r="C536" s="4">
        <v>1.68</v>
      </c>
    </row>
    <row r="537" spans="1:3" x14ac:dyDescent="0.3">
      <c r="A537" s="28">
        <v>43956</v>
      </c>
      <c r="B537" s="6" t="s">
        <v>32</v>
      </c>
      <c r="C537" s="4">
        <v>4.3899999999999997</v>
      </c>
    </row>
    <row r="538" spans="1:3" x14ac:dyDescent="0.3">
      <c r="A538" s="28">
        <v>43956</v>
      </c>
      <c r="B538" s="6" t="s">
        <v>33</v>
      </c>
      <c r="C538" s="4">
        <v>17.989653000000001</v>
      </c>
    </row>
    <row r="539" spans="1:3" x14ac:dyDescent="0.3">
      <c r="A539" s="28">
        <v>43956</v>
      </c>
      <c r="B539" s="6" t="s">
        <v>34</v>
      </c>
      <c r="C539" s="4">
        <v>14.77</v>
      </c>
    </row>
    <row r="540" spans="1:3" x14ac:dyDescent="0.3">
      <c r="A540" s="28">
        <v>43956</v>
      </c>
      <c r="B540" s="6" t="s">
        <v>35</v>
      </c>
      <c r="C540" s="4">
        <v>27.290001</v>
      </c>
    </row>
    <row r="541" spans="1:3" x14ac:dyDescent="0.3">
      <c r="A541" s="28">
        <v>43956</v>
      </c>
      <c r="B541" s="6" t="s">
        <v>36</v>
      </c>
      <c r="C541" s="4">
        <v>43.977310000000003</v>
      </c>
    </row>
    <row r="542" spans="1:3" x14ac:dyDescent="0.3">
      <c r="A542" s="28">
        <v>43957</v>
      </c>
      <c r="B542" s="6" t="s">
        <v>27</v>
      </c>
      <c r="C542" s="4">
        <v>9.25</v>
      </c>
    </row>
    <row r="543" spans="1:3" x14ac:dyDescent="0.3">
      <c r="A543" s="28">
        <v>43957</v>
      </c>
      <c r="B543" s="6" t="s">
        <v>28</v>
      </c>
      <c r="C543" s="4">
        <v>60.400002000000001</v>
      </c>
    </row>
    <row r="544" spans="1:3" x14ac:dyDescent="0.3">
      <c r="A544" s="28">
        <v>43957</v>
      </c>
      <c r="B544" s="6" t="s">
        <v>29</v>
      </c>
      <c r="C544" s="4">
        <v>64.379997000000003</v>
      </c>
    </row>
    <row r="545" spans="1:3" x14ac:dyDescent="0.3">
      <c r="A545" s="28">
        <v>43957</v>
      </c>
      <c r="B545" s="6" t="s">
        <v>30</v>
      </c>
      <c r="C545" s="4">
        <v>24.93</v>
      </c>
    </row>
    <row r="546" spans="1:3" x14ac:dyDescent="0.3">
      <c r="A546" s="28">
        <v>43957</v>
      </c>
      <c r="B546" s="6" t="s">
        <v>31</v>
      </c>
      <c r="C546" s="4">
        <v>1.59</v>
      </c>
    </row>
    <row r="547" spans="1:3" x14ac:dyDescent="0.3">
      <c r="A547" s="28">
        <v>43957</v>
      </c>
      <c r="B547" s="6" t="s">
        <v>32</v>
      </c>
      <c r="C547" s="4">
        <v>4.41</v>
      </c>
    </row>
    <row r="548" spans="1:3" x14ac:dyDescent="0.3">
      <c r="A548" s="28">
        <v>43957</v>
      </c>
      <c r="B548" s="6" t="s">
        <v>33</v>
      </c>
      <c r="C548" s="4">
        <v>18.600473000000001</v>
      </c>
    </row>
    <row r="549" spans="1:3" x14ac:dyDescent="0.3">
      <c r="A549" s="28">
        <v>43957</v>
      </c>
      <c r="B549" s="6" t="s">
        <v>34</v>
      </c>
      <c r="C549" s="4">
        <v>14.07</v>
      </c>
    </row>
    <row r="550" spans="1:3" x14ac:dyDescent="0.3">
      <c r="A550" s="28">
        <v>43957</v>
      </c>
      <c r="B550" s="6" t="s">
        <v>35</v>
      </c>
      <c r="C550" s="4">
        <v>27.629999000000002</v>
      </c>
    </row>
    <row r="551" spans="1:3" x14ac:dyDescent="0.3">
      <c r="A551" s="28">
        <v>43957</v>
      </c>
      <c r="B551" s="6" t="s">
        <v>36</v>
      </c>
      <c r="C551" s="4">
        <v>43.153286000000001</v>
      </c>
    </row>
    <row r="552" spans="1:3" x14ac:dyDescent="0.3">
      <c r="A552" s="28">
        <v>43958</v>
      </c>
      <c r="B552" s="6" t="s">
        <v>27</v>
      </c>
      <c r="C552" s="4">
        <v>9.5399999999999991</v>
      </c>
    </row>
    <row r="553" spans="1:3" x14ac:dyDescent="0.3">
      <c r="A553" s="28">
        <v>43958</v>
      </c>
      <c r="B553" s="6" t="s">
        <v>28</v>
      </c>
      <c r="C553" s="4">
        <v>59.389999000000003</v>
      </c>
    </row>
    <row r="554" spans="1:3" x14ac:dyDescent="0.3">
      <c r="A554" s="28">
        <v>43958</v>
      </c>
      <c r="B554" s="6" t="s">
        <v>29</v>
      </c>
      <c r="C554" s="4">
        <v>66.459998999999996</v>
      </c>
    </row>
    <row r="555" spans="1:3" x14ac:dyDescent="0.3">
      <c r="A555" s="28">
        <v>43958</v>
      </c>
      <c r="B555" s="6" t="s">
        <v>30</v>
      </c>
      <c r="C555" s="4">
        <v>25.450001</v>
      </c>
    </row>
    <row r="556" spans="1:3" x14ac:dyDescent="0.3">
      <c r="A556" s="28">
        <v>43958</v>
      </c>
      <c r="B556" s="6" t="s">
        <v>31</v>
      </c>
      <c r="C556" s="4">
        <v>1.61</v>
      </c>
    </row>
    <row r="557" spans="1:3" x14ac:dyDescent="0.3">
      <c r="A557" s="28">
        <v>43958</v>
      </c>
      <c r="B557" s="6" t="s">
        <v>32</v>
      </c>
      <c r="C557" s="4">
        <v>4.59</v>
      </c>
    </row>
    <row r="558" spans="1:3" x14ac:dyDescent="0.3">
      <c r="A558" s="28">
        <v>43958</v>
      </c>
      <c r="B558" s="6" t="s">
        <v>33</v>
      </c>
      <c r="C558" s="4">
        <v>20.038858000000001</v>
      </c>
    </row>
    <row r="559" spans="1:3" x14ac:dyDescent="0.3">
      <c r="A559" s="28">
        <v>43958</v>
      </c>
      <c r="B559" s="6" t="s">
        <v>34</v>
      </c>
      <c r="C559" s="4">
        <v>14.5</v>
      </c>
    </row>
    <row r="560" spans="1:3" x14ac:dyDescent="0.3">
      <c r="A560" s="28">
        <v>43958</v>
      </c>
      <c r="B560" s="6" t="s">
        <v>35</v>
      </c>
      <c r="C560" s="4">
        <v>29.950001</v>
      </c>
    </row>
    <row r="561" spans="1:3" x14ac:dyDescent="0.3">
      <c r="A561" s="28">
        <v>43958</v>
      </c>
      <c r="B561" s="6" t="s">
        <v>36</v>
      </c>
      <c r="C561" s="4">
        <v>43.398533</v>
      </c>
    </row>
    <row r="562" spans="1:3" x14ac:dyDescent="0.3">
      <c r="A562" s="28">
        <v>43959</v>
      </c>
      <c r="B562" s="6" t="s">
        <v>27</v>
      </c>
      <c r="C562" s="4">
        <v>10.14</v>
      </c>
    </row>
    <row r="563" spans="1:3" x14ac:dyDescent="0.3">
      <c r="A563" s="28">
        <v>43959</v>
      </c>
      <c r="B563" s="6" t="s">
        <v>28</v>
      </c>
      <c r="C563" s="4">
        <v>63.130001</v>
      </c>
    </row>
    <row r="564" spans="1:3" x14ac:dyDescent="0.3">
      <c r="A564" s="28">
        <v>43959</v>
      </c>
      <c r="B564" s="6" t="s">
        <v>29</v>
      </c>
      <c r="C564" s="4">
        <v>69.269997000000004</v>
      </c>
    </row>
    <row r="565" spans="1:3" x14ac:dyDescent="0.3">
      <c r="A565" s="28">
        <v>43959</v>
      </c>
      <c r="B565" s="6" t="s">
        <v>30</v>
      </c>
      <c r="C565" s="4">
        <v>27.200001</v>
      </c>
    </row>
    <row r="566" spans="1:3" x14ac:dyDescent="0.3">
      <c r="A566" s="28">
        <v>43959</v>
      </c>
      <c r="B566" s="6" t="s">
        <v>31</v>
      </c>
      <c r="C566" s="4">
        <v>1.63</v>
      </c>
    </row>
    <row r="567" spans="1:3" x14ac:dyDescent="0.3">
      <c r="A567" s="28">
        <v>43959</v>
      </c>
      <c r="B567" s="6" t="s">
        <v>32</v>
      </c>
      <c r="C567" s="4">
        <v>4.68</v>
      </c>
    </row>
    <row r="568" spans="1:3" x14ac:dyDescent="0.3">
      <c r="A568" s="28">
        <v>43959</v>
      </c>
      <c r="B568" s="6" t="s">
        <v>33</v>
      </c>
      <c r="C568" s="4">
        <v>19.684187000000001</v>
      </c>
    </row>
    <row r="569" spans="1:3" x14ac:dyDescent="0.3">
      <c r="A569" s="28">
        <v>43959</v>
      </c>
      <c r="B569" s="6" t="s">
        <v>34</v>
      </c>
      <c r="C569" s="4">
        <v>14.88</v>
      </c>
    </row>
    <row r="570" spans="1:3" x14ac:dyDescent="0.3">
      <c r="A570" s="28">
        <v>43959</v>
      </c>
      <c r="B570" s="6" t="s">
        <v>35</v>
      </c>
      <c r="C570" s="4">
        <v>31.16</v>
      </c>
    </row>
    <row r="571" spans="1:3" x14ac:dyDescent="0.3">
      <c r="A571" s="28">
        <v>43959</v>
      </c>
      <c r="B571" s="6" t="s">
        <v>36</v>
      </c>
      <c r="C571" s="4">
        <v>45.301631999999998</v>
      </c>
    </row>
    <row r="572" spans="1:3" x14ac:dyDescent="0.3">
      <c r="A572" s="28">
        <v>43962</v>
      </c>
      <c r="B572" s="6" t="s">
        <v>27</v>
      </c>
      <c r="C572" s="4">
        <v>10.1</v>
      </c>
    </row>
    <row r="573" spans="1:3" x14ac:dyDescent="0.3">
      <c r="A573" s="28">
        <v>43962</v>
      </c>
      <c r="B573" s="6" t="s">
        <v>28</v>
      </c>
      <c r="C573" s="4">
        <v>61.169998</v>
      </c>
    </row>
    <row r="574" spans="1:3" x14ac:dyDescent="0.3">
      <c r="A574" s="28">
        <v>43962</v>
      </c>
      <c r="B574" s="6" t="s">
        <v>29</v>
      </c>
      <c r="C574" s="4">
        <v>67.620002999999997</v>
      </c>
    </row>
    <row r="575" spans="1:3" x14ac:dyDescent="0.3">
      <c r="A575" s="28">
        <v>43962</v>
      </c>
      <c r="B575" s="6" t="s">
        <v>30</v>
      </c>
      <c r="C575" s="4">
        <v>26.09</v>
      </c>
    </row>
    <row r="576" spans="1:3" x14ac:dyDescent="0.3">
      <c r="A576" s="28">
        <v>43962</v>
      </c>
      <c r="B576" s="6" t="s">
        <v>31</v>
      </c>
      <c r="C576" s="4">
        <v>1.56</v>
      </c>
    </row>
    <row r="577" spans="1:3" x14ac:dyDescent="0.3">
      <c r="A577" s="28">
        <v>43962</v>
      </c>
      <c r="B577" s="6" t="s">
        <v>32</v>
      </c>
      <c r="C577" s="4">
        <v>4.4400000000000004</v>
      </c>
    </row>
    <row r="578" spans="1:3" x14ac:dyDescent="0.3">
      <c r="A578" s="28">
        <v>43962</v>
      </c>
      <c r="B578" s="6" t="s">
        <v>33</v>
      </c>
      <c r="C578" s="4">
        <v>19.703892</v>
      </c>
    </row>
    <row r="579" spans="1:3" x14ac:dyDescent="0.3">
      <c r="A579" s="28">
        <v>43962</v>
      </c>
      <c r="B579" s="6" t="s">
        <v>34</v>
      </c>
      <c r="C579" s="4">
        <v>13.92</v>
      </c>
    </row>
    <row r="580" spans="1:3" x14ac:dyDescent="0.3">
      <c r="A580" s="28">
        <v>43962</v>
      </c>
      <c r="B580" s="6" t="s">
        <v>35</v>
      </c>
      <c r="C580" s="4">
        <v>31.26</v>
      </c>
    </row>
    <row r="581" spans="1:3" x14ac:dyDescent="0.3">
      <c r="A581" s="28">
        <v>43962</v>
      </c>
      <c r="B581" s="6" t="s">
        <v>36</v>
      </c>
      <c r="C581" s="4">
        <v>44.870002999999997</v>
      </c>
    </row>
    <row r="582" spans="1:3" x14ac:dyDescent="0.3">
      <c r="A582" s="28">
        <v>43963</v>
      </c>
      <c r="B582" s="6" t="s">
        <v>27</v>
      </c>
      <c r="C582" s="4">
        <v>9.65</v>
      </c>
    </row>
    <row r="583" spans="1:3" x14ac:dyDescent="0.3">
      <c r="A583" s="28">
        <v>43963</v>
      </c>
      <c r="B583" s="6" t="s">
        <v>28</v>
      </c>
      <c r="C583" s="4">
        <v>61.91</v>
      </c>
    </row>
    <row r="584" spans="1:3" x14ac:dyDescent="0.3">
      <c r="A584" s="28">
        <v>43963</v>
      </c>
      <c r="B584" s="6" t="s">
        <v>29</v>
      </c>
      <c r="C584" s="4">
        <v>64.989998</v>
      </c>
    </row>
    <row r="585" spans="1:3" x14ac:dyDescent="0.3">
      <c r="A585" s="28">
        <v>43963</v>
      </c>
      <c r="B585" s="6" t="s">
        <v>30</v>
      </c>
      <c r="C585" s="4">
        <v>25.24</v>
      </c>
    </row>
    <row r="586" spans="1:3" x14ac:dyDescent="0.3">
      <c r="A586" s="28">
        <v>43963</v>
      </c>
      <c r="B586" s="6" t="s">
        <v>31</v>
      </c>
      <c r="C586" s="4">
        <v>1.55</v>
      </c>
    </row>
    <row r="587" spans="1:3" x14ac:dyDescent="0.3">
      <c r="A587" s="28">
        <v>43963</v>
      </c>
      <c r="B587" s="6" t="s">
        <v>32</v>
      </c>
      <c r="C587" s="4">
        <v>4.3</v>
      </c>
    </row>
    <row r="588" spans="1:3" x14ac:dyDescent="0.3">
      <c r="A588" s="28">
        <v>43963</v>
      </c>
      <c r="B588" s="6" t="s">
        <v>33</v>
      </c>
      <c r="C588" s="4">
        <v>18.866475999999999</v>
      </c>
    </row>
    <row r="589" spans="1:3" x14ac:dyDescent="0.3">
      <c r="A589" s="28">
        <v>43963</v>
      </c>
      <c r="B589" s="6" t="s">
        <v>34</v>
      </c>
      <c r="C589" s="4">
        <v>13.19</v>
      </c>
    </row>
    <row r="590" spans="1:3" x14ac:dyDescent="0.3">
      <c r="A590" s="28">
        <v>43963</v>
      </c>
      <c r="B590" s="6" t="s">
        <v>35</v>
      </c>
      <c r="C590" s="4">
        <v>31.01</v>
      </c>
    </row>
    <row r="591" spans="1:3" x14ac:dyDescent="0.3">
      <c r="A591" s="28">
        <v>43963</v>
      </c>
      <c r="B591" s="6" t="s">
        <v>36</v>
      </c>
      <c r="C591" s="4">
        <v>44.119999</v>
      </c>
    </row>
    <row r="592" spans="1:3" x14ac:dyDescent="0.3">
      <c r="A592" s="28">
        <v>43964</v>
      </c>
      <c r="B592" s="6" t="s">
        <v>27</v>
      </c>
      <c r="C592" s="4">
        <v>9.11</v>
      </c>
    </row>
    <row r="593" spans="1:3" x14ac:dyDescent="0.3">
      <c r="A593" s="28">
        <v>43964</v>
      </c>
      <c r="B593" s="6" t="s">
        <v>28</v>
      </c>
      <c r="C593" s="4">
        <v>64.809997999999993</v>
      </c>
    </row>
    <row r="594" spans="1:3" x14ac:dyDescent="0.3">
      <c r="A594" s="28">
        <v>43964</v>
      </c>
      <c r="B594" s="6" t="s">
        <v>29</v>
      </c>
      <c r="C594" s="4">
        <v>62.009998000000003</v>
      </c>
    </row>
    <row r="595" spans="1:3" x14ac:dyDescent="0.3">
      <c r="A595" s="28">
        <v>43964</v>
      </c>
      <c r="B595" s="6" t="s">
        <v>30</v>
      </c>
      <c r="C595" s="4">
        <v>24</v>
      </c>
    </row>
    <row r="596" spans="1:3" x14ac:dyDescent="0.3">
      <c r="A596" s="28">
        <v>43964</v>
      </c>
      <c r="B596" s="6" t="s">
        <v>31</v>
      </c>
      <c r="C596" s="4">
        <v>1.45</v>
      </c>
    </row>
    <row r="597" spans="1:3" x14ac:dyDescent="0.3">
      <c r="A597" s="28">
        <v>43964</v>
      </c>
      <c r="B597" s="6" t="s">
        <v>32</v>
      </c>
      <c r="C597" s="4">
        <v>4.09</v>
      </c>
    </row>
    <row r="598" spans="1:3" x14ac:dyDescent="0.3">
      <c r="A598" s="28">
        <v>43964</v>
      </c>
      <c r="B598" s="6" t="s">
        <v>33</v>
      </c>
      <c r="C598" s="4">
        <v>17.763059999999999</v>
      </c>
    </row>
    <row r="599" spans="1:3" x14ac:dyDescent="0.3">
      <c r="A599" s="28">
        <v>43964</v>
      </c>
      <c r="B599" s="6" t="s">
        <v>34</v>
      </c>
      <c r="C599" s="4">
        <v>11.93</v>
      </c>
    </row>
    <row r="600" spans="1:3" x14ac:dyDescent="0.3">
      <c r="A600" s="28">
        <v>43964</v>
      </c>
      <c r="B600" s="6" t="s">
        <v>35</v>
      </c>
      <c r="C600" s="4">
        <v>30.200001</v>
      </c>
    </row>
    <row r="601" spans="1:3" x14ac:dyDescent="0.3">
      <c r="A601" s="28">
        <v>43964</v>
      </c>
      <c r="B601" s="6" t="s">
        <v>36</v>
      </c>
      <c r="C601" s="4">
        <v>41.93</v>
      </c>
    </row>
    <row r="602" spans="1:3" x14ac:dyDescent="0.3">
      <c r="A602" s="28">
        <v>43965</v>
      </c>
      <c r="B602" s="6" t="s">
        <v>27</v>
      </c>
      <c r="C602" s="4">
        <v>9.15</v>
      </c>
    </row>
    <row r="603" spans="1:3" x14ac:dyDescent="0.3">
      <c r="A603" s="28">
        <v>43965</v>
      </c>
      <c r="B603" s="6" t="s">
        <v>28</v>
      </c>
      <c r="C603" s="4">
        <v>65.300003000000004</v>
      </c>
    </row>
    <row r="604" spans="1:3" x14ac:dyDescent="0.3">
      <c r="A604" s="28">
        <v>43965</v>
      </c>
      <c r="B604" s="6" t="s">
        <v>29</v>
      </c>
      <c r="C604" s="4">
        <v>64.370002999999997</v>
      </c>
    </row>
    <row r="605" spans="1:3" x14ac:dyDescent="0.3">
      <c r="A605" s="28">
        <v>43965</v>
      </c>
      <c r="B605" s="6" t="s">
        <v>30</v>
      </c>
      <c r="C605" s="4">
        <v>24.780000999999999</v>
      </c>
    </row>
    <row r="606" spans="1:3" x14ac:dyDescent="0.3">
      <c r="A606" s="28">
        <v>43965</v>
      </c>
      <c r="B606" s="6" t="s">
        <v>31</v>
      </c>
      <c r="C606" s="4">
        <v>1.58</v>
      </c>
    </row>
    <row r="607" spans="1:3" x14ac:dyDescent="0.3">
      <c r="A607" s="28">
        <v>43965</v>
      </c>
      <c r="B607" s="6" t="s">
        <v>32</v>
      </c>
      <c r="C607" s="4">
        <v>4.22</v>
      </c>
    </row>
    <row r="608" spans="1:3" x14ac:dyDescent="0.3">
      <c r="A608" s="28">
        <v>43965</v>
      </c>
      <c r="B608" s="6" t="s">
        <v>33</v>
      </c>
      <c r="C608" s="4">
        <v>17.240905999999999</v>
      </c>
    </row>
    <row r="609" spans="1:3" x14ac:dyDescent="0.3">
      <c r="A609" s="28">
        <v>43965</v>
      </c>
      <c r="B609" s="6" t="s">
        <v>34</v>
      </c>
      <c r="C609" s="4">
        <v>12.41</v>
      </c>
    </row>
    <row r="610" spans="1:3" x14ac:dyDescent="0.3">
      <c r="A610" s="28">
        <v>43965</v>
      </c>
      <c r="B610" s="6" t="s">
        <v>35</v>
      </c>
      <c r="C610" s="4">
        <v>31.66</v>
      </c>
    </row>
    <row r="611" spans="1:3" x14ac:dyDescent="0.3">
      <c r="A611" s="28">
        <v>43965</v>
      </c>
      <c r="B611" s="6" t="s">
        <v>36</v>
      </c>
      <c r="C611" s="4">
        <v>42.299999</v>
      </c>
    </row>
    <row r="612" spans="1:3" x14ac:dyDescent="0.3">
      <c r="A612" s="28">
        <v>43966</v>
      </c>
      <c r="B612" s="6" t="s">
        <v>27</v>
      </c>
      <c r="C612" s="4">
        <v>9.0399999999999991</v>
      </c>
    </row>
    <row r="613" spans="1:3" x14ac:dyDescent="0.3">
      <c r="A613" s="28">
        <v>43966</v>
      </c>
      <c r="B613" s="6" t="s">
        <v>28</v>
      </c>
      <c r="C613" s="4">
        <v>66.660004000000001</v>
      </c>
    </row>
    <row r="614" spans="1:3" x14ac:dyDescent="0.3">
      <c r="A614" s="28">
        <v>43966</v>
      </c>
      <c r="B614" s="6" t="s">
        <v>29</v>
      </c>
      <c r="C614" s="4">
        <v>66.760002</v>
      </c>
    </row>
    <row r="615" spans="1:3" x14ac:dyDescent="0.3">
      <c r="A615" s="28">
        <v>43966</v>
      </c>
      <c r="B615" s="6" t="s">
        <v>30</v>
      </c>
      <c r="C615" s="4">
        <v>23.870000999999998</v>
      </c>
    </row>
    <row r="616" spans="1:3" x14ac:dyDescent="0.3">
      <c r="A616" s="28">
        <v>43966</v>
      </c>
      <c r="B616" s="6" t="s">
        <v>31</v>
      </c>
      <c r="C616" s="4">
        <v>1.5</v>
      </c>
    </row>
    <row r="617" spans="1:3" x14ac:dyDescent="0.3">
      <c r="A617" s="28">
        <v>43966</v>
      </c>
      <c r="B617" s="6" t="s">
        <v>32</v>
      </c>
      <c r="C617" s="4">
        <v>4.22</v>
      </c>
    </row>
    <row r="618" spans="1:3" x14ac:dyDescent="0.3">
      <c r="A618" s="28">
        <v>43966</v>
      </c>
      <c r="B618" s="6" t="s">
        <v>33</v>
      </c>
      <c r="C618" s="4">
        <v>16.896086</v>
      </c>
    </row>
    <row r="619" spans="1:3" x14ac:dyDescent="0.3">
      <c r="A619" s="28">
        <v>43966</v>
      </c>
      <c r="B619" s="6" t="s">
        <v>34</v>
      </c>
      <c r="C619" s="4">
        <v>12.2</v>
      </c>
    </row>
    <row r="620" spans="1:3" x14ac:dyDescent="0.3">
      <c r="A620" s="28">
        <v>43966</v>
      </c>
      <c r="B620" s="6" t="s">
        <v>35</v>
      </c>
      <c r="C620" s="4">
        <v>31.33</v>
      </c>
    </row>
    <row r="621" spans="1:3" x14ac:dyDescent="0.3">
      <c r="A621" s="28">
        <v>43966</v>
      </c>
      <c r="B621" s="6" t="s">
        <v>36</v>
      </c>
      <c r="C621" s="4">
        <v>42</v>
      </c>
    </row>
    <row r="622" spans="1:3" x14ac:dyDescent="0.3">
      <c r="A622" s="28">
        <v>43969</v>
      </c>
      <c r="B622" s="6" t="s">
        <v>27</v>
      </c>
      <c r="C622" s="4">
        <v>9.8699999999999992</v>
      </c>
    </row>
    <row r="623" spans="1:3" x14ac:dyDescent="0.3">
      <c r="A623" s="28">
        <v>43969</v>
      </c>
      <c r="B623" s="6" t="s">
        <v>28</v>
      </c>
      <c r="C623" s="4">
        <v>62.200001</v>
      </c>
    </row>
    <row r="624" spans="1:3" x14ac:dyDescent="0.3">
      <c r="A624" s="28">
        <v>43969</v>
      </c>
      <c r="B624" s="6" t="s">
        <v>29</v>
      </c>
      <c r="C624" s="4">
        <v>79.190002000000007</v>
      </c>
    </row>
    <row r="625" spans="1:3" x14ac:dyDescent="0.3">
      <c r="A625" s="28">
        <v>43969</v>
      </c>
      <c r="B625" s="6" t="s">
        <v>30</v>
      </c>
      <c r="C625" s="4">
        <v>27.09</v>
      </c>
    </row>
    <row r="626" spans="1:3" x14ac:dyDescent="0.3">
      <c r="A626" s="28">
        <v>43969</v>
      </c>
      <c r="B626" s="6" t="s">
        <v>31</v>
      </c>
      <c r="C626" s="4">
        <v>1.61</v>
      </c>
    </row>
    <row r="627" spans="1:3" x14ac:dyDescent="0.3">
      <c r="A627" s="28">
        <v>43969</v>
      </c>
      <c r="B627" s="6" t="s">
        <v>32</v>
      </c>
      <c r="C627" s="4">
        <v>4.8099999999999996</v>
      </c>
    </row>
    <row r="628" spans="1:3" x14ac:dyDescent="0.3">
      <c r="A628" s="28">
        <v>43969</v>
      </c>
      <c r="B628" s="6" t="s">
        <v>33</v>
      </c>
      <c r="C628" s="4">
        <v>17.999506</v>
      </c>
    </row>
    <row r="629" spans="1:3" x14ac:dyDescent="0.3">
      <c r="A629" s="28">
        <v>43969</v>
      </c>
      <c r="B629" s="6" t="s">
        <v>34</v>
      </c>
      <c r="C629" s="4">
        <v>13.39</v>
      </c>
    </row>
    <row r="630" spans="1:3" x14ac:dyDescent="0.3">
      <c r="A630" s="28">
        <v>43969</v>
      </c>
      <c r="B630" s="6" t="s">
        <v>35</v>
      </c>
      <c r="C630" s="4">
        <v>29</v>
      </c>
    </row>
    <row r="631" spans="1:3" x14ac:dyDescent="0.3">
      <c r="A631" s="28">
        <v>43969</v>
      </c>
      <c r="B631" s="6" t="s">
        <v>36</v>
      </c>
      <c r="C631" s="4">
        <v>45.34</v>
      </c>
    </row>
    <row r="632" spans="1:3" x14ac:dyDescent="0.3">
      <c r="A632" s="28">
        <v>43970</v>
      </c>
      <c r="B632" s="6" t="s">
        <v>27</v>
      </c>
      <c r="C632" s="4">
        <v>9.64</v>
      </c>
    </row>
    <row r="633" spans="1:3" x14ac:dyDescent="0.3">
      <c r="A633" s="28">
        <v>43970</v>
      </c>
      <c r="B633" s="6" t="s">
        <v>28</v>
      </c>
      <c r="C633" s="4">
        <v>61.029998999999997</v>
      </c>
    </row>
    <row r="634" spans="1:3" x14ac:dyDescent="0.3">
      <c r="A634" s="28">
        <v>43970</v>
      </c>
      <c r="B634" s="6" t="s">
        <v>29</v>
      </c>
      <c r="C634" s="4">
        <v>76.349997999999999</v>
      </c>
    </row>
    <row r="635" spans="1:3" x14ac:dyDescent="0.3">
      <c r="A635" s="28">
        <v>43970</v>
      </c>
      <c r="B635" s="6" t="s">
        <v>30</v>
      </c>
      <c r="C635" s="4">
        <v>27.690000999999999</v>
      </c>
    </row>
    <row r="636" spans="1:3" x14ac:dyDescent="0.3">
      <c r="A636" s="28">
        <v>43970</v>
      </c>
      <c r="B636" s="6" t="s">
        <v>31</v>
      </c>
      <c r="C636" s="4">
        <v>1.59</v>
      </c>
    </row>
    <row r="637" spans="1:3" x14ac:dyDescent="0.3">
      <c r="A637" s="28">
        <v>43970</v>
      </c>
      <c r="B637" s="6" t="s">
        <v>32</v>
      </c>
      <c r="C637" s="4">
        <v>4.5</v>
      </c>
    </row>
    <row r="638" spans="1:3" x14ac:dyDescent="0.3">
      <c r="A638" s="28">
        <v>43970</v>
      </c>
      <c r="B638" s="6" t="s">
        <v>33</v>
      </c>
      <c r="C638" s="4">
        <v>18.42314</v>
      </c>
    </row>
    <row r="639" spans="1:3" x14ac:dyDescent="0.3">
      <c r="A639" s="28">
        <v>43970</v>
      </c>
      <c r="B639" s="6" t="s">
        <v>34</v>
      </c>
      <c r="C639" s="4">
        <v>12.86</v>
      </c>
    </row>
    <row r="640" spans="1:3" x14ac:dyDescent="0.3">
      <c r="A640" s="28">
        <v>43970</v>
      </c>
      <c r="B640" s="6" t="s">
        <v>35</v>
      </c>
      <c r="C640" s="4">
        <v>29.690000999999999</v>
      </c>
    </row>
    <row r="641" spans="1:3" x14ac:dyDescent="0.3">
      <c r="A641" s="28">
        <v>43970</v>
      </c>
      <c r="B641" s="6" t="s">
        <v>36</v>
      </c>
      <c r="C641" s="4">
        <v>43.939999</v>
      </c>
    </row>
    <row r="642" spans="1:3" x14ac:dyDescent="0.3">
      <c r="A642" s="28">
        <v>43971</v>
      </c>
      <c r="B642" s="6" t="s">
        <v>27</v>
      </c>
      <c r="C642" s="4">
        <v>9.8699999999999992</v>
      </c>
    </row>
    <row r="643" spans="1:3" x14ac:dyDescent="0.3">
      <c r="A643" s="28">
        <v>43971</v>
      </c>
      <c r="B643" s="6" t="s">
        <v>28</v>
      </c>
      <c r="C643" s="4">
        <v>63.009998000000003</v>
      </c>
    </row>
    <row r="644" spans="1:3" x14ac:dyDescent="0.3">
      <c r="A644" s="28">
        <v>43971</v>
      </c>
      <c r="B644" s="6" t="s">
        <v>29</v>
      </c>
      <c r="C644" s="4">
        <v>79.580001999999993</v>
      </c>
    </row>
    <row r="645" spans="1:3" x14ac:dyDescent="0.3">
      <c r="A645" s="28">
        <v>43971</v>
      </c>
      <c r="B645" s="6" t="s">
        <v>30</v>
      </c>
      <c r="C645" s="4">
        <v>29.15</v>
      </c>
    </row>
    <row r="646" spans="1:3" x14ac:dyDescent="0.3">
      <c r="A646" s="28">
        <v>43971</v>
      </c>
      <c r="B646" s="6" t="s">
        <v>31</v>
      </c>
      <c r="C646" s="4">
        <v>1.67</v>
      </c>
    </row>
    <row r="647" spans="1:3" x14ac:dyDescent="0.3">
      <c r="A647" s="28">
        <v>43971</v>
      </c>
      <c r="B647" s="6" t="s">
        <v>32</v>
      </c>
      <c r="C647" s="4">
        <v>4.76</v>
      </c>
    </row>
    <row r="648" spans="1:3" x14ac:dyDescent="0.3">
      <c r="A648" s="28">
        <v>43971</v>
      </c>
      <c r="B648" s="6" t="s">
        <v>33</v>
      </c>
      <c r="C648" s="4">
        <v>17.910837000000001</v>
      </c>
    </row>
    <row r="649" spans="1:3" x14ac:dyDescent="0.3">
      <c r="A649" s="28">
        <v>43971</v>
      </c>
      <c r="B649" s="6" t="s">
        <v>34</v>
      </c>
      <c r="C649" s="4">
        <v>13.26</v>
      </c>
    </row>
    <row r="650" spans="1:3" x14ac:dyDescent="0.3">
      <c r="A650" s="28">
        <v>43971</v>
      </c>
      <c r="B650" s="6" t="s">
        <v>35</v>
      </c>
      <c r="C650" s="4">
        <v>31.35</v>
      </c>
    </row>
    <row r="651" spans="1:3" x14ac:dyDescent="0.3">
      <c r="A651" s="28">
        <v>43971</v>
      </c>
      <c r="B651" s="6" t="s">
        <v>36</v>
      </c>
      <c r="C651" s="4">
        <v>45.369999</v>
      </c>
    </row>
    <row r="652" spans="1:3" x14ac:dyDescent="0.3">
      <c r="A652" s="28">
        <v>43972</v>
      </c>
      <c r="B652" s="6" t="s">
        <v>27</v>
      </c>
      <c r="C652" s="4">
        <v>9.89</v>
      </c>
    </row>
    <row r="653" spans="1:3" x14ac:dyDescent="0.3">
      <c r="A653" s="28">
        <v>43972</v>
      </c>
      <c r="B653" s="6" t="s">
        <v>28</v>
      </c>
      <c r="C653" s="4">
        <v>62.790000999999997</v>
      </c>
    </row>
    <row r="654" spans="1:3" x14ac:dyDescent="0.3">
      <c r="A654" s="28">
        <v>43972</v>
      </c>
      <c r="B654" s="6" t="s">
        <v>29</v>
      </c>
      <c r="C654" s="4">
        <v>77.010002</v>
      </c>
    </row>
    <row r="655" spans="1:3" x14ac:dyDescent="0.3">
      <c r="A655" s="28">
        <v>43972</v>
      </c>
      <c r="B655" s="6" t="s">
        <v>30</v>
      </c>
      <c r="C655" s="4">
        <v>29.6</v>
      </c>
    </row>
    <row r="656" spans="1:3" x14ac:dyDescent="0.3">
      <c r="A656" s="28">
        <v>43972</v>
      </c>
      <c r="B656" s="6" t="s">
        <v>31</v>
      </c>
      <c r="C656" s="4">
        <v>1.66</v>
      </c>
    </row>
    <row r="657" spans="1:3" x14ac:dyDescent="0.3">
      <c r="A657" s="28">
        <v>43972</v>
      </c>
      <c r="B657" s="6" t="s">
        <v>32</v>
      </c>
      <c r="C657" s="4">
        <v>4.8099999999999996</v>
      </c>
    </row>
    <row r="658" spans="1:3" x14ac:dyDescent="0.3">
      <c r="A658" s="28">
        <v>43972</v>
      </c>
      <c r="B658" s="6" t="s">
        <v>33</v>
      </c>
      <c r="C658" s="4">
        <v>18.531509</v>
      </c>
    </row>
    <row r="659" spans="1:3" x14ac:dyDescent="0.3">
      <c r="A659" s="28">
        <v>43972</v>
      </c>
      <c r="B659" s="6" t="s">
        <v>34</v>
      </c>
      <c r="C659" s="4">
        <v>14.24</v>
      </c>
    </row>
    <row r="660" spans="1:3" x14ac:dyDescent="0.3">
      <c r="A660" s="28">
        <v>43972</v>
      </c>
      <c r="B660" s="6" t="s">
        <v>35</v>
      </c>
      <c r="C660" s="4">
        <v>31.639999</v>
      </c>
    </row>
    <row r="661" spans="1:3" x14ac:dyDescent="0.3">
      <c r="A661" s="28">
        <v>43972</v>
      </c>
      <c r="B661" s="6" t="s">
        <v>36</v>
      </c>
      <c r="C661" s="4">
        <v>44.560001</v>
      </c>
    </row>
    <row r="662" spans="1:3" x14ac:dyDescent="0.3">
      <c r="A662" s="28">
        <v>43973</v>
      </c>
      <c r="B662" s="6" t="s">
        <v>27</v>
      </c>
      <c r="C662" s="4">
        <v>9.6999999999999993</v>
      </c>
    </row>
    <row r="663" spans="1:3" x14ac:dyDescent="0.3">
      <c r="A663" s="28">
        <v>43973</v>
      </c>
      <c r="B663" s="6" t="s">
        <v>28</v>
      </c>
      <c r="C663" s="4">
        <v>64.910004000000001</v>
      </c>
    </row>
    <row r="664" spans="1:3" x14ac:dyDescent="0.3">
      <c r="A664" s="28">
        <v>43973</v>
      </c>
      <c r="B664" s="6" t="s">
        <v>29</v>
      </c>
      <c r="C664" s="4">
        <v>77.949996999999996</v>
      </c>
    </row>
    <row r="665" spans="1:3" x14ac:dyDescent="0.3">
      <c r="A665" s="28">
        <v>43973</v>
      </c>
      <c r="B665" s="6" t="s">
        <v>30</v>
      </c>
      <c r="C665" s="4">
        <v>28.870000999999998</v>
      </c>
    </row>
    <row r="666" spans="1:3" x14ac:dyDescent="0.3">
      <c r="A666" s="28">
        <v>43973</v>
      </c>
      <c r="B666" s="6" t="s">
        <v>31</v>
      </c>
      <c r="C666" s="4">
        <v>1.66</v>
      </c>
    </row>
    <row r="667" spans="1:3" x14ac:dyDescent="0.3">
      <c r="A667" s="28">
        <v>43973</v>
      </c>
      <c r="B667" s="6" t="s">
        <v>32</v>
      </c>
      <c r="C667" s="4">
        <v>4.5</v>
      </c>
    </row>
    <row r="668" spans="1:3" x14ac:dyDescent="0.3">
      <c r="A668" s="28">
        <v>43973</v>
      </c>
      <c r="B668" s="6" t="s">
        <v>33</v>
      </c>
      <c r="C668" s="4">
        <v>18.442841999999999</v>
      </c>
    </row>
    <row r="669" spans="1:3" x14ac:dyDescent="0.3">
      <c r="A669" s="28">
        <v>43973</v>
      </c>
      <c r="B669" s="6" t="s">
        <v>34</v>
      </c>
      <c r="C669" s="4">
        <v>13.98</v>
      </c>
    </row>
    <row r="670" spans="1:3" x14ac:dyDescent="0.3">
      <c r="A670" s="28">
        <v>43973</v>
      </c>
      <c r="B670" s="6" t="s">
        <v>35</v>
      </c>
      <c r="C670" s="4">
        <v>31.709999</v>
      </c>
    </row>
    <row r="671" spans="1:3" x14ac:dyDescent="0.3">
      <c r="A671" s="28">
        <v>43973</v>
      </c>
      <c r="B671" s="6" t="s">
        <v>36</v>
      </c>
      <c r="C671" s="4">
        <v>44.599997999999999</v>
      </c>
    </row>
    <row r="672" spans="1:3" x14ac:dyDescent="0.3">
      <c r="A672" s="28">
        <v>43977</v>
      </c>
      <c r="B672" s="6" t="s">
        <v>27</v>
      </c>
      <c r="C672" s="4">
        <v>11.14</v>
      </c>
    </row>
    <row r="673" spans="1:3" x14ac:dyDescent="0.3">
      <c r="A673" s="28">
        <v>43977</v>
      </c>
      <c r="B673" s="6" t="s">
        <v>28</v>
      </c>
      <c r="C673" s="4">
        <v>62.099997999999999</v>
      </c>
    </row>
    <row r="674" spans="1:3" x14ac:dyDescent="0.3">
      <c r="A674" s="28">
        <v>43977</v>
      </c>
      <c r="B674" s="6" t="s">
        <v>29</v>
      </c>
      <c r="C674" s="4">
        <v>82.82</v>
      </c>
    </row>
    <row r="675" spans="1:3" x14ac:dyDescent="0.3">
      <c r="A675" s="28">
        <v>43977</v>
      </c>
      <c r="B675" s="6" t="s">
        <v>30</v>
      </c>
      <c r="C675" s="4">
        <v>32.520000000000003</v>
      </c>
    </row>
    <row r="676" spans="1:3" x14ac:dyDescent="0.3">
      <c r="A676" s="28">
        <v>43977</v>
      </c>
      <c r="B676" s="6" t="s">
        <v>31</v>
      </c>
      <c r="C676" s="4">
        <v>1.78</v>
      </c>
    </row>
    <row r="677" spans="1:3" x14ac:dyDescent="0.3">
      <c r="A677" s="28">
        <v>43977</v>
      </c>
      <c r="B677" s="6" t="s">
        <v>32</v>
      </c>
      <c r="C677" s="4">
        <v>4.6500000000000004</v>
      </c>
    </row>
    <row r="678" spans="1:3" x14ac:dyDescent="0.3">
      <c r="A678" s="28">
        <v>43977</v>
      </c>
      <c r="B678" s="6" t="s">
        <v>33</v>
      </c>
      <c r="C678" s="4">
        <v>19.694037999999999</v>
      </c>
    </row>
    <row r="679" spans="1:3" x14ac:dyDescent="0.3">
      <c r="A679" s="28">
        <v>43977</v>
      </c>
      <c r="B679" s="6" t="s">
        <v>34</v>
      </c>
      <c r="C679" s="4">
        <v>14.75</v>
      </c>
    </row>
    <row r="680" spans="1:3" x14ac:dyDescent="0.3">
      <c r="A680" s="28">
        <v>43977</v>
      </c>
      <c r="B680" s="6" t="s">
        <v>35</v>
      </c>
      <c r="C680" s="4">
        <v>32.409999999999997</v>
      </c>
    </row>
    <row r="681" spans="1:3" x14ac:dyDescent="0.3">
      <c r="A681" s="28">
        <v>43977</v>
      </c>
      <c r="B681" s="6" t="s">
        <v>36</v>
      </c>
      <c r="C681" s="4">
        <v>45.91</v>
      </c>
    </row>
    <row r="682" spans="1:3" x14ac:dyDescent="0.3">
      <c r="A682" s="28">
        <v>43978</v>
      </c>
      <c r="B682" s="6" t="s">
        <v>27</v>
      </c>
      <c r="C682" s="4">
        <v>11.98</v>
      </c>
    </row>
    <row r="683" spans="1:3" x14ac:dyDescent="0.3">
      <c r="A683" s="28">
        <v>43978</v>
      </c>
      <c r="B683" s="6" t="s">
        <v>28</v>
      </c>
      <c r="C683" s="4">
        <v>60.740001999999997</v>
      </c>
    </row>
    <row r="684" spans="1:3" x14ac:dyDescent="0.3">
      <c r="A684" s="28">
        <v>43978</v>
      </c>
      <c r="B684" s="6" t="s">
        <v>29</v>
      </c>
      <c r="C684" s="4">
        <v>81.610000999999997</v>
      </c>
    </row>
    <row r="685" spans="1:3" x14ac:dyDescent="0.3">
      <c r="A685" s="28">
        <v>43978</v>
      </c>
      <c r="B685" s="6" t="s">
        <v>30</v>
      </c>
      <c r="C685" s="4">
        <v>33.659999999999997</v>
      </c>
    </row>
    <row r="686" spans="1:3" x14ac:dyDescent="0.3">
      <c r="A686" s="28">
        <v>43978</v>
      </c>
      <c r="B686" s="6" t="s">
        <v>31</v>
      </c>
      <c r="C686" s="4">
        <v>1.87</v>
      </c>
    </row>
    <row r="687" spans="1:3" x14ac:dyDescent="0.3">
      <c r="A687" s="28">
        <v>43978</v>
      </c>
      <c r="B687" s="6" t="s">
        <v>32</v>
      </c>
      <c r="C687" s="4">
        <v>5.14</v>
      </c>
    </row>
    <row r="688" spans="1:3" x14ac:dyDescent="0.3">
      <c r="A688" s="28">
        <v>43978</v>
      </c>
      <c r="B688" s="6" t="s">
        <v>33</v>
      </c>
      <c r="C688" s="4">
        <v>20.285156000000001</v>
      </c>
    </row>
    <row r="689" spans="1:3" x14ac:dyDescent="0.3">
      <c r="A689" s="28">
        <v>43978</v>
      </c>
      <c r="B689" s="6" t="s">
        <v>34</v>
      </c>
      <c r="C689" s="4">
        <v>15.38</v>
      </c>
    </row>
    <row r="690" spans="1:3" x14ac:dyDescent="0.3">
      <c r="A690" s="28">
        <v>43978</v>
      </c>
      <c r="B690" s="6" t="s">
        <v>35</v>
      </c>
      <c r="C690" s="4">
        <v>32.110000999999997</v>
      </c>
    </row>
    <row r="691" spans="1:3" x14ac:dyDescent="0.3">
      <c r="A691" s="28">
        <v>43978</v>
      </c>
      <c r="B691" s="6" t="s">
        <v>36</v>
      </c>
      <c r="C691" s="4">
        <v>46.240001999999997</v>
      </c>
    </row>
    <row r="692" spans="1:3" x14ac:dyDescent="0.3">
      <c r="A692" s="28">
        <v>43979</v>
      </c>
      <c r="B692" s="6" t="s">
        <v>27</v>
      </c>
      <c r="C692" s="4">
        <v>10.98</v>
      </c>
    </row>
    <row r="693" spans="1:3" x14ac:dyDescent="0.3">
      <c r="A693" s="28">
        <v>43979</v>
      </c>
      <c r="B693" s="6" t="s">
        <v>28</v>
      </c>
      <c r="C693" s="4">
        <v>60.470001000000003</v>
      </c>
    </row>
    <row r="694" spans="1:3" x14ac:dyDescent="0.3">
      <c r="A694" s="28">
        <v>43979</v>
      </c>
      <c r="B694" s="6" t="s">
        <v>29</v>
      </c>
      <c r="C694" s="4">
        <v>78.779999000000004</v>
      </c>
    </row>
    <row r="695" spans="1:3" x14ac:dyDescent="0.3">
      <c r="A695" s="28">
        <v>43979</v>
      </c>
      <c r="B695" s="6" t="s">
        <v>30</v>
      </c>
      <c r="C695" s="4">
        <v>32.549999</v>
      </c>
    </row>
    <row r="696" spans="1:3" x14ac:dyDescent="0.3">
      <c r="A696" s="28">
        <v>43979</v>
      </c>
      <c r="B696" s="6" t="s">
        <v>31</v>
      </c>
      <c r="C696" s="4">
        <v>1.77</v>
      </c>
    </row>
    <row r="697" spans="1:3" x14ac:dyDescent="0.3">
      <c r="A697" s="28">
        <v>43979</v>
      </c>
      <c r="B697" s="6" t="s">
        <v>32</v>
      </c>
      <c r="C697" s="4">
        <v>5.09</v>
      </c>
    </row>
    <row r="698" spans="1:3" x14ac:dyDescent="0.3">
      <c r="A698" s="28">
        <v>43979</v>
      </c>
      <c r="B698" s="6" t="s">
        <v>33</v>
      </c>
      <c r="C698" s="4">
        <v>19.831966000000001</v>
      </c>
    </row>
    <row r="699" spans="1:3" x14ac:dyDescent="0.3">
      <c r="A699" s="28">
        <v>43979</v>
      </c>
      <c r="B699" s="6" t="s">
        <v>34</v>
      </c>
      <c r="C699" s="4">
        <v>13.99</v>
      </c>
    </row>
    <row r="700" spans="1:3" x14ac:dyDescent="0.3">
      <c r="A700" s="28">
        <v>43979</v>
      </c>
      <c r="B700" s="6" t="s">
        <v>35</v>
      </c>
      <c r="C700" s="4">
        <v>32.540000999999997</v>
      </c>
    </row>
    <row r="701" spans="1:3" x14ac:dyDescent="0.3">
      <c r="A701" s="28">
        <v>43979</v>
      </c>
      <c r="B701" s="6" t="s">
        <v>36</v>
      </c>
      <c r="C701" s="4">
        <v>45.040000999999997</v>
      </c>
    </row>
    <row r="702" spans="1:3" x14ac:dyDescent="0.3">
      <c r="A702" s="28">
        <v>43980</v>
      </c>
      <c r="B702" s="6" t="s">
        <v>27</v>
      </c>
      <c r="C702" s="4">
        <v>10.5</v>
      </c>
    </row>
    <row r="703" spans="1:3" x14ac:dyDescent="0.3">
      <c r="A703" s="28">
        <v>43980</v>
      </c>
      <c r="B703" s="6" t="s">
        <v>28</v>
      </c>
      <c r="C703" s="4">
        <v>61.080002</v>
      </c>
    </row>
    <row r="704" spans="1:3" x14ac:dyDescent="0.3">
      <c r="A704" s="28">
        <v>43980</v>
      </c>
      <c r="B704" s="6" t="s">
        <v>29</v>
      </c>
      <c r="C704" s="4">
        <v>79.480002999999996</v>
      </c>
    </row>
    <row r="705" spans="1:3" x14ac:dyDescent="0.3">
      <c r="A705" s="28">
        <v>43980</v>
      </c>
      <c r="B705" s="6" t="s">
        <v>30</v>
      </c>
      <c r="C705" s="4">
        <v>32.099997999999999</v>
      </c>
    </row>
    <row r="706" spans="1:3" x14ac:dyDescent="0.3">
      <c r="A706" s="28">
        <v>43980</v>
      </c>
      <c r="B706" s="6" t="s">
        <v>31</v>
      </c>
      <c r="C706" s="4">
        <v>1.69</v>
      </c>
    </row>
    <row r="707" spans="1:3" x14ac:dyDescent="0.3">
      <c r="A707" s="28">
        <v>43980</v>
      </c>
      <c r="B707" s="6" t="s">
        <v>32</v>
      </c>
      <c r="C707" s="4">
        <v>5.14</v>
      </c>
    </row>
    <row r="708" spans="1:3" x14ac:dyDescent="0.3">
      <c r="A708" s="28">
        <v>43980</v>
      </c>
      <c r="B708" s="6" t="s">
        <v>33</v>
      </c>
      <c r="C708" s="4">
        <v>19.053663</v>
      </c>
    </row>
    <row r="709" spans="1:3" x14ac:dyDescent="0.3">
      <c r="A709" s="28">
        <v>43980</v>
      </c>
      <c r="B709" s="6" t="s">
        <v>34</v>
      </c>
      <c r="C709" s="4">
        <v>13.6</v>
      </c>
    </row>
    <row r="710" spans="1:3" x14ac:dyDescent="0.3">
      <c r="A710" s="28">
        <v>43980</v>
      </c>
      <c r="B710" s="6" t="s">
        <v>35</v>
      </c>
      <c r="C710" s="4">
        <v>35.049999</v>
      </c>
    </row>
    <row r="711" spans="1:3" x14ac:dyDescent="0.3">
      <c r="A711" s="28">
        <v>43980</v>
      </c>
      <c r="B711" s="6" t="s">
        <v>36</v>
      </c>
      <c r="C711" s="4">
        <v>45.470001000000003</v>
      </c>
    </row>
    <row r="712" spans="1:3" x14ac:dyDescent="0.3">
      <c r="A712" s="28">
        <v>43983</v>
      </c>
      <c r="B712" s="6" t="s">
        <v>27</v>
      </c>
      <c r="C712" s="4">
        <v>11.11</v>
      </c>
    </row>
    <row r="713" spans="1:3" x14ac:dyDescent="0.3">
      <c r="A713" s="28">
        <v>43983</v>
      </c>
      <c r="B713" s="6" t="s">
        <v>28</v>
      </c>
      <c r="C713" s="4">
        <v>62.43</v>
      </c>
    </row>
    <row r="714" spans="1:3" x14ac:dyDescent="0.3">
      <c r="A714" s="28">
        <v>43983</v>
      </c>
      <c r="B714" s="6" t="s">
        <v>29</v>
      </c>
      <c r="C714" s="4">
        <v>82.419998000000007</v>
      </c>
    </row>
    <row r="715" spans="1:3" x14ac:dyDescent="0.3">
      <c r="A715" s="28">
        <v>43983</v>
      </c>
      <c r="B715" s="6" t="s">
        <v>30</v>
      </c>
      <c r="C715" s="4">
        <v>33.619999</v>
      </c>
    </row>
    <row r="716" spans="1:3" x14ac:dyDescent="0.3">
      <c r="A716" s="28">
        <v>43983</v>
      </c>
      <c r="B716" s="6" t="s">
        <v>31</v>
      </c>
      <c r="C716" s="4">
        <v>1.85</v>
      </c>
    </row>
    <row r="717" spans="1:3" x14ac:dyDescent="0.3">
      <c r="A717" s="28">
        <v>43983</v>
      </c>
      <c r="B717" s="6" t="s">
        <v>32</v>
      </c>
      <c r="C717" s="4">
        <v>5.9</v>
      </c>
    </row>
    <row r="718" spans="1:3" x14ac:dyDescent="0.3">
      <c r="A718" s="28">
        <v>43983</v>
      </c>
      <c r="B718" s="6" t="s">
        <v>33</v>
      </c>
      <c r="C718" s="4">
        <v>20.492045999999998</v>
      </c>
    </row>
    <row r="719" spans="1:3" x14ac:dyDescent="0.3">
      <c r="A719" s="28">
        <v>43983</v>
      </c>
      <c r="B719" s="6" t="s">
        <v>34</v>
      </c>
      <c r="C719" s="4">
        <v>14.19</v>
      </c>
    </row>
    <row r="720" spans="1:3" x14ac:dyDescent="0.3">
      <c r="A720" s="28">
        <v>43983</v>
      </c>
      <c r="B720" s="6" t="s">
        <v>35</v>
      </c>
      <c r="C720" s="4">
        <v>37.18</v>
      </c>
    </row>
    <row r="721" spans="1:3" x14ac:dyDescent="0.3">
      <c r="A721" s="28">
        <v>43983</v>
      </c>
      <c r="B721" s="6" t="s">
        <v>36</v>
      </c>
      <c r="C721" s="4">
        <v>46.279998999999997</v>
      </c>
    </row>
    <row r="722" spans="1:3" x14ac:dyDescent="0.3">
      <c r="A722" s="28">
        <v>43984</v>
      </c>
      <c r="B722" s="6" t="s">
        <v>27</v>
      </c>
      <c r="C722" s="4">
        <v>11.22</v>
      </c>
    </row>
    <row r="723" spans="1:3" x14ac:dyDescent="0.3">
      <c r="A723" s="28">
        <v>43984</v>
      </c>
      <c r="B723" s="6" t="s">
        <v>28</v>
      </c>
      <c r="C723" s="4">
        <v>62.560001</v>
      </c>
    </row>
    <row r="724" spans="1:3" x14ac:dyDescent="0.3">
      <c r="A724" s="28">
        <v>43984</v>
      </c>
      <c r="B724" s="6" t="s">
        <v>29</v>
      </c>
      <c r="C724" s="4">
        <v>84.220000999999996</v>
      </c>
    </row>
    <row r="725" spans="1:3" x14ac:dyDescent="0.3">
      <c r="A725" s="28">
        <v>43984</v>
      </c>
      <c r="B725" s="6" t="s">
        <v>30</v>
      </c>
      <c r="C725" s="4">
        <v>34.479999999999997</v>
      </c>
    </row>
    <row r="726" spans="1:3" x14ac:dyDescent="0.3">
      <c r="A726" s="28">
        <v>43984</v>
      </c>
      <c r="B726" s="6" t="s">
        <v>31</v>
      </c>
      <c r="C726" s="4">
        <v>1.84</v>
      </c>
    </row>
    <row r="727" spans="1:3" x14ac:dyDescent="0.3">
      <c r="A727" s="28">
        <v>43984</v>
      </c>
      <c r="B727" s="6" t="s">
        <v>32</v>
      </c>
      <c r="C727" s="4">
        <v>6.92</v>
      </c>
    </row>
    <row r="728" spans="1:3" x14ac:dyDescent="0.3">
      <c r="A728" s="28">
        <v>43984</v>
      </c>
      <c r="B728" s="6" t="s">
        <v>33</v>
      </c>
      <c r="C728" s="4">
        <v>20.462492000000001</v>
      </c>
    </row>
    <row r="729" spans="1:3" x14ac:dyDescent="0.3">
      <c r="A729" s="28">
        <v>43984</v>
      </c>
      <c r="B729" s="6" t="s">
        <v>34</v>
      </c>
      <c r="C729" s="4">
        <v>14.5</v>
      </c>
    </row>
    <row r="730" spans="1:3" x14ac:dyDescent="0.3">
      <c r="A730" s="28">
        <v>43984</v>
      </c>
      <c r="B730" s="6" t="s">
        <v>35</v>
      </c>
      <c r="C730" s="4">
        <v>38.380001</v>
      </c>
    </row>
    <row r="731" spans="1:3" x14ac:dyDescent="0.3">
      <c r="A731" s="28">
        <v>43984</v>
      </c>
      <c r="B731" s="6" t="s">
        <v>36</v>
      </c>
      <c r="C731" s="4">
        <v>47.310001</v>
      </c>
    </row>
    <row r="732" spans="1:3" x14ac:dyDescent="0.3">
      <c r="A732" s="28">
        <v>43985</v>
      </c>
      <c r="B732" s="6" t="s">
        <v>27</v>
      </c>
      <c r="C732" s="4">
        <v>11.85</v>
      </c>
    </row>
    <row r="733" spans="1:3" x14ac:dyDescent="0.3">
      <c r="A733" s="28">
        <v>43985</v>
      </c>
      <c r="B733" s="6" t="s">
        <v>28</v>
      </c>
      <c r="C733" s="4">
        <v>61.400002000000001</v>
      </c>
    </row>
    <row r="734" spans="1:3" x14ac:dyDescent="0.3">
      <c r="A734" s="28">
        <v>43985</v>
      </c>
      <c r="B734" s="6" t="s">
        <v>29</v>
      </c>
      <c r="C734" s="4">
        <v>89.139999000000003</v>
      </c>
    </row>
    <row r="735" spans="1:3" x14ac:dyDescent="0.3">
      <c r="A735" s="28">
        <v>43985</v>
      </c>
      <c r="B735" s="6" t="s">
        <v>30</v>
      </c>
      <c r="C735" s="4">
        <v>36.419998</v>
      </c>
    </row>
    <row r="736" spans="1:3" x14ac:dyDescent="0.3">
      <c r="A736" s="28">
        <v>43985</v>
      </c>
      <c r="B736" s="6" t="s">
        <v>31</v>
      </c>
      <c r="C736" s="4">
        <v>1.94</v>
      </c>
    </row>
    <row r="737" spans="1:3" x14ac:dyDescent="0.3">
      <c r="A737" s="28">
        <v>43985</v>
      </c>
      <c r="B737" s="6" t="s">
        <v>32</v>
      </c>
      <c r="C737" s="4">
        <v>7.66</v>
      </c>
    </row>
    <row r="738" spans="1:3" x14ac:dyDescent="0.3">
      <c r="A738" s="28">
        <v>43985</v>
      </c>
      <c r="B738" s="6" t="s">
        <v>33</v>
      </c>
      <c r="C738" s="4">
        <v>22.462434999999999</v>
      </c>
    </row>
    <row r="739" spans="1:3" x14ac:dyDescent="0.3">
      <c r="A739" s="28">
        <v>43985</v>
      </c>
      <c r="B739" s="6" t="s">
        <v>34</v>
      </c>
      <c r="C739" s="4">
        <v>15.69</v>
      </c>
    </row>
    <row r="740" spans="1:3" x14ac:dyDescent="0.3">
      <c r="A740" s="28">
        <v>43985</v>
      </c>
      <c r="B740" s="6" t="s">
        <v>35</v>
      </c>
      <c r="C740" s="4">
        <v>39.900002000000001</v>
      </c>
    </row>
    <row r="741" spans="1:3" x14ac:dyDescent="0.3">
      <c r="A741" s="28">
        <v>43985</v>
      </c>
      <c r="B741" s="6" t="s">
        <v>36</v>
      </c>
      <c r="C741" s="4">
        <v>49.240001999999997</v>
      </c>
    </row>
    <row r="742" spans="1:3" x14ac:dyDescent="0.3">
      <c r="A742" s="28">
        <v>43986</v>
      </c>
      <c r="B742" s="6" t="s">
        <v>27</v>
      </c>
      <c r="C742" s="4">
        <v>16.719999000000001</v>
      </c>
    </row>
    <row r="743" spans="1:3" x14ac:dyDescent="0.3">
      <c r="A743" s="28">
        <v>43986</v>
      </c>
      <c r="B743" s="6" t="s">
        <v>28</v>
      </c>
      <c r="C743" s="4">
        <v>58.34</v>
      </c>
    </row>
    <row r="744" spans="1:3" x14ac:dyDescent="0.3">
      <c r="A744" s="28">
        <v>43986</v>
      </c>
      <c r="B744" s="6" t="s">
        <v>29</v>
      </c>
      <c r="C744" s="4">
        <v>89.879997000000003</v>
      </c>
    </row>
    <row r="745" spans="1:3" x14ac:dyDescent="0.3">
      <c r="A745" s="28">
        <v>43986</v>
      </c>
      <c r="B745" s="6" t="s">
        <v>30</v>
      </c>
      <c r="C745" s="4">
        <v>38.270000000000003</v>
      </c>
    </row>
    <row r="746" spans="1:3" x14ac:dyDescent="0.3">
      <c r="A746" s="28">
        <v>43986</v>
      </c>
      <c r="B746" s="6" t="s">
        <v>31</v>
      </c>
      <c r="C746" s="4">
        <v>2.3199999999999998</v>
      </c>
    </row>
    <row r="747" spans="1:3" x14ac:dyDescent="0.3">
      <c r="A747" s="28">
        <v>43986</v>
      </c>
      <c r="B747" s="6" t="s">
        <v>32</v>
      </c>
      <c r="C747" s="4">
        <v>8</v>
      </c>
    </row>
    <row r="748" spans="1:3" x14ac:dyDescent="0.3">
      <c r="A748" s="28">
        <v>43986</v>
      </c>
      <c r="B748" s="6" t="s">
        <v>33</v>
      </c>
      <c r="C748" s="4">
        <v>22.984589</v>
      </c>
    </row>
    <row r="749" spans="1:3" x14ac:dyDescent="0.3">
      <c r="A749" s="28">
        <v>43986</v>
      </c>
      <c r="B749" s="6" t="s">
        <v>34</v>
      </c>
      <c r="C749" s="4">
        <v>16.440000999999999</v>
      </c>
    </row>
    <row r="750" spans="1:3" x14ac:dyDescent="0.3">
      <c r="A750" s="28">
        <v>43986</v>
      </c>
      <c r="B750" s="6" t="s">
        <v>35</v>
      </c>
      <c r="C750" s="4">
        <v>37.939999</v>
      </c>
    </row>
    <row r="751" spans="1:3" x14ac:dyDescent="0.3">
      <c r="A751" s="28">
        <v>43986</v>
      </c>
      <c r="B751" s="6" t="s">
        <v>36</v>
      </c>
      <c r="C751" s="4">
        <v>49.099997999999999</v>
      </c>
    </row>
    <row r="752" spans="1:3" x14ac:dyDescent="0.3">
      <c r="A752" s="28">
        <v>43987</v>
      </c>
      <c r="B752" s="6" t="s">
        <v>27</v>
      </c>
      <c r="C752" s="4">
        <v>18.59</v>
      </c>
    </row>
    <row r="753" spans="1:3" x14ac:dyDescent="0.3">
      <c r="A753" s="28">
        <v>43987</v>
      </c>
      <c r="B753" s="6" t="s">
        <v>28</v>
      </c>
      <c r="C753" s="4">
        <v>58.540000999999997</v>
      </c>
    </row>
    <row r="754" spans="1:3" x14ac:dyDescent="0.3">
      <c r="A754" s="28">
        <v>43987</v>
      </c>
      <c r="B754" s="6" t="s">
        <v>29</v>
      </c>
      <c r="C754" s="4">
        <v>93.059997999999993</v>
      </c>
    </row>
    <row r="755" spans="1:3" x14ac:dyDescent="0.3">
      <c r="A755" s="28">
        <v>43987</v>
      </c>
      <c r="B755" s="6" t="s">
        <v>30</v>
      </c>
      <c r="C755" s="4">
        <v>38.18</v>
      </c>
    </row>
    <row r="756" spans="1:3" x14ac:dyDescent="0.3">
      <c r="A756" s="28">
        <v>43987</v>
      </c>
      <c r="B756" s="6" t="s">
        <v>31</v>
      </c>
      <c r="C756" s="4">
        <v>2.83</v>
      </c>
    </row>
    <row r="757" spans="1:3" x14ac:dyDescent="0.3">
      <c r="A757" s="28">
        <v>43987</v>
      </c>
      <c r="B757" s="6" t="s">
        <v>32</v>
      </c>
      <c r="C757" s="4">
        <v>9.0500000000000007</v>
      </c>
    </row>
    <row r="758" spans="1:3" x14ac:dyDescent="0.3">
      <c r="A758" s="28">
        <v>43987</v>
      </c>
      <c r="B758" s="6" t="s">
        <v>33</v>
      </c>
      <c r="C758" s="4">
        <v>24.541197</v>
      </c>
    </row>
    <row r="759" spans="1:3" x14ac:dyDescent="0.3">
      <c r="A759" s="28">
        <v>43987</v>
      </c>
      <c r="B759" s="6" t="s">
        <v>34</v>
      </c>
      <c r="C759" s="4">
        <v>17.309999000000001</v>
      </c>
    </row>
    <row r="760" spans="1:3" x14ac:dyDescent="0.3">
      <c r="A760" s="28">
        <v>43987</v>
      </c>
      <c r="B760" s="6" t="s">
        <v>35</v>
      </c>
      <c r="C760" s="4">
        <v>32.560001</v>
      </c>
    </row>
    <row r="761" spans="1:3" x14ac:dyDescent="0.3">
      <c r="A761" s="28">
        <v>43987</v>
      </c>
      <c r="B761" s="6" t="s">
        <v>36</v>
      </c>
      <c r="C761" s="4">
        <v>53.080002</v>
      </c>
    </row>
    <row r="762" spans="1:3" x14ac:dyDescent="0.3">
      <c r="A762" s="28">
        <v>43990</v>
      </c>
      <c r="B762" s="6" t="s">
        <v>27</v>
      </c>
      <c r="C762" s="4">
        <v>20.309999000000001</v>
      </c>
    </row>
    <row r="763" spans="1:3" x14ac:dyDescent="0.3">
      <c r="A763" s="28">
        <v>43990</v>
      </c>
      <c r="B763" s="6" t="s">
        <v>28</v>
      </c>
      <c r="C763" s="4">
        <v>57.740001999999997</v>
      </c>
    </row>
    <row r="764" spans="1:3" x14ac:dyDescent="0.3">
      <c r="A764" s="28">
        <v>43990</v>
      </c>
      <c r="B764" s="6" t="s">
        <v>29</v>
      </c>
      <c r="C764" s="4">
        <v>93.989998</v>
      </c>
    </row>
    <row r="765" spans="1:3" x14ac:dyDescent="0.3">
      <c r="A765" s="28">
        <v>43990</v>
      </c>
      <c r="B765" s="6" t="s">
        <v>30</v>
      </c>
      <c r="C765" s="4">
        <v>40.590000000000003</v>
      </c>
    </row>
    <row r="766" spans="1:3" x14ac:dyDescent="0.3">
      <c r="A766" s="28">
        <v>43990</v>
      </c>
      <c r="B766" s="6" t="s">
        <v>31</v>
      </c>
      <c r="C766" s="4">
        <v>3.4</v>
      </c>
    </row>
    <row r="767" spans="1:3" x14ac:dyDescent="0.3">
      <c r="A767" s="28">
        <v>43990</v>
      </c>
      <c r="B767" s="6" t="s">
        <v>32</v>
      </c>
      <c r="C767" s="4">
        <v>10.99</v>
      </c>
    </row>
    <row r="768" spans="1:3" x14ac:dyDescent="0.3">
      <c r="A768" s="28">
        <v>43990</v>
      </c>
      <c r="B768" s="6" t="s">
        <v>33</v>
      </c>
      <c r="C768" s="4">
        <v>26.186471999999998</v>
      </c>
    </row>
    <row r="769" spans="1:3" x14ac:dyDescent="0.3">
      <c r="A769" s="28">
        <v>43990</v>
      </c>
      <c r="B769" s="6" t="s">
        <v>34</v>
      </c>
      <c r="C769" s="4">
        <v>17.98</v>
      </c>
    </row>
    <row r="770" spans="1:3" x14ac:dyDescent="0.3">
      <c r="A770" s="28">
        <v>43990</v>
      </c>
      <c r="B770" s="6" t="s">
        <v>35</v>
      </c>
      <c r="C770" s="4">
        <v>32.009998000000003</v>
      </c>
    </row>
    <row r="771" spans="1:3" x14ac:dyDescent="0.3">
      <c r="A771" s="28">
        <v>43990</v>
      </c>
      <c r="B771" s="6" t="s">
        <v>36</v>
      </c>
      <c r="C771" s="4">
        <v>54.740001999999997</v>
      </c>
    </row>
    <row r="772" spans="1:3" x14ac:dyDescent="0.3">
      <c r="A772" s="28">
        <v>43991</v>
      </c>
      <c r="B772" s="6" t="s">
        <v>27</v>
      </c>
      <c r="C772" s="4">
        <v>18.549999</v>
      </c>
    </row>
    <row r="773" spans="1:3" x14ac:dyDescent="0.3">
      <c r="A773" s="28">
        <v>43991</v>
      </c>
      <c r="B773" s="6" t="s">
        <v>28</v>
      </c>
      <c r="C773" s="4">
        <v>56.900002000000001</v>
      </c>
    </row>
    <row r="774" spans="1:3" x14ac:dyDescent="0.3">
      <c r="A774" s="28">
        <v>43991</v>
      </c>
      <c r="B774" s="6" t="s">
        <v>29</v>
      </c>
      <c r="C774" s="4">
        <v>88.699996999999996</v>
      </c>
    </row>
    <row r="775" spans="1:3" x14ac:dyDescent="0.3">
      <c r="A775" s="28">
        <v>43991</v>
      </c>
      <c r="B775" s="6" t="s">
        <v>30</v>
      </c>
      <c r="C775" s="4">
        <v>38.009998000000003</v>
      </c>
    </row>
    <row r="776" spans="1:3" x14ac:dyDescent="0.3">
      <c r="A776" s="28">
        <v>43991</v>
      </c>
      <c r="B776" s="6" t="s">
        <v>31</v>
      </c>
      <c r="C776" s="4">
        <v>3.07</v>
      </c>
    </row>
    <row r="777" spans="1:3" x14ac:dyDescent="0.3">
      <c r="A777" s="28">
        <v>43991</v>
      </c>
      <c r="B777" s="6" t="s">
        <v>32</v>
      </c>
      <c r="C777" s="4">
        <v>10.07</v>
      </c>
    </row>
    <row r="778" spans="1:3" x14ac:dyDescent="0.3">
      <c r="A778" s="28">
        <v>43991</v>
      </c>
      <c r="B778" s="6" t="s">
        <v>33</v>
      </c>
      <c r="C778" s="4">
        <v>24.984535000000001</v>
      </c>
    </row>
    <row r="779" spans="1:3" x14ac:dyDescent="0.3">
      <c r="A779" s="28">
        <v>43991</v>
      </c>
      <c r="B779" s="6" t="s">
        <v>34</v>
      </c>
      <c r="C779" s="4">
        <v>16.549999</v>
      </c>
    </row>
    <row r="780" spans="1:3" x14ac:dyDescent="0.3">
      <c r="A780" s="28">
        <v>43991</v>
      </c>
      <c r="B780" s="6" t="s">
        <v>35</v>
      </c>
      <c r="C780" s="4">
        <v>31.32</v>
      </c>
    </row>
    <row r="781" spans="1:3" x14ac:dyDescent="0.3">
      <c r="A781" s="28">
        <v>43991</v>
      </c>
      <c r="B781" s="6" t="s">
        <v>36</v>
      </c>
      <c r="C781" s="4">
        <v>53.52</v>
      </c>
    </row>
    <row r="782" spans="1:3" x14ac:dyDescent="0.3">
      <c r="A782" s="28">
        <v>43992</v>
      </c>
      <c r="B782" s="6" t="s">
        <v>27</v>
      </c>
      <c r="C782" s="4">
        <v>17.02</v>
      </c>
    </row>
    <row r="783" spans="1:3" x14ac:dyDescent="0.3">
      <c r="A783" s="28">
        <v>43992</v>
      </c>
      <c r="B783" s="6" t="s">
        <v>28</v>
      </c>
      <c r="C783" s="4">
        <v>58.84</v>
      </c>
    </row>
    <row r="784" spans="1:3" x14ac:dyDescent="0.3">
      <c r="A784" s="28">
        <v>43992</v>
      </c>
      <c r="B784" s="6" t="s">
        <v>29</v>
      </c>
      <c r="C784" s="4">
        <v>87.370002999999997</v>
      </c>
    </row>
    <row r="785" spans="1:3" x14ac:dyDescent="0.3">
      <c r="A785" s="28">
        <v>43992</v>
      </c>
      <c r="B785" s="6" t="s">
        <v>30</v>
      </c>
      <c r="C785" s="4">
        <v>37.139999000000003</v>
      </c>
    </row>
    <row r="786" spans="1:3" x14ac:dyDescent="0.3">
      <c r="A786" s="28">
        <v>43992</v>
      </c>
      <c r="B786" s="6" t="s">
        <v>31</v>
      </c>
      <c r="C786" s="4">
        <v>2.77</v>
      </c>
    </row>
    <row r="787" spans="1:3" x14ac:dyDescent="0.3">
      <c r="A787" s="28">
        <v>43992</v>
      </c>
      <c r="B787" s="6" t="s">
        <v>32</v>
      </c>
      <c r="C787" s="4">
        <v>8.59</v>
      </c>
    </row>
    <row r="788" spans="1:3" x14ac:dyDescent="0.3">
      <c r="A788" s="28">
        <v>43992</v>
      </c>
      <c r="B788" s="6" t="s">
        <v>33</v>
      </c>
      <c r="C788" s="4">
        <v>23.703780999999999</v>
      </c>
    </row>
    <row r="789" spans="1:3" x14ac:dyDescent="0.3">
      <c r="A789" s="28">
        <v>43992</v>
      </c>
      <c r="B789" s="6" t="s">
        <v>34</v>
      </c>
      <c r="C789" s="4">
        <v>15.48</v>
      </c>
    </row>
    <row r="790" spans="1:3" x14ac:dyDescent="0.3">
      <c r="A790" s="28">
        <v>43992</v>
      </c>
      <c r="B790" s="6" t="s">
        <v>35</v>
      </c>
      <c r="C790" s="4">
        <v>32.470001000000003</v>
      </c>
    </row>
    <row r="791" spans="1:3" x14ac:dyDescent="0.3">
      <c r="A791" s="28">
        <v>43992</v>
      </c>
      <c r="B791" s="6" t="s">
        <v>36</v>
      </c>
      <c r="C791" s="4">
        <v>50.650002000000001</v>
      </c>
    </row>
    <row r="792" spans="1:3" x14ac:dyDescent="0.3">
      <c r="A792" s="28">
        <v>43993</v>
      </c>
      <c r="B792" s="6" t="s">
        <v>27</v>
      </c>
      <c r="C792" s="4">
        <v>14.38</v>
      </c>
    </row>
    <row r="793" spans="1:3" x14ac:dyDescent="0.3">
      <c r="A793" s="28">
        <v>43993</v>
      </c>
      <c r="B793" s="6" t="s">
        <v>28</v>
      </c>
      <c r="C793" s="4">
        <v>56.82</v>
      </c>
    </row>
    <row r="794" spans="1:3" x14ac:dyDescent="0.3">
      <c r="A794" s="28">
        <v>43993</v>
      </c>
      <c r="B794" s="6" t="s">
        <v>29</v>
      </c>
      <c r="C794" s="4">
        <v>77.730002999999996</v>
      </c>
    </row>
    <row r="795" spans="1:3" x14ac:dyDescent="0.3">
      <c r="A795" s="28">
        <v>43993</v>
      </c>
      <c r="B795" s="6" t="s">
        <v>30</v>
      </c>
      <c r="C795" s="4">
        <v>32.830002</v>
      </c>
    </row>
    <row r="796" spans="1:3" x14ac:dyDescent="0.3">
      <c r="A796" s="28">
        <v>43993</v>
      </c>
      <c r="B796" s="6" t="s">
        <v>31</v>
      </c>
      <c r="C796" s="4">
        <v>2.2999999999999998</v>
      </c>
    </row>
    <row r="797" spans="1:3" x14ac:dyDescent="0.3">
      <c r="A797" s="28">
        <v>43993</v>
      </c>
      <c r="B797" s="6" t="s">
        <v>32</v>
      </c>
      <c r="C797" s="4">
        <v>7.06</v>
      </c>
    </row>
    <row r="798" spans="1:3" x14ac:dyDescent="0.3">
      <c r="A798" s="28">
        <v>43993</v>
      </c>
      <c r="B798" s="6" t="s">
        <v>33</v>
      </c>
      <c r="C798" s="4">
        <v>21.930430999999999</v>
      </c>
    </row>
    <row r="799" spans="1:3" x14ac:dyDescent="0.3">
      <c r="A799" s="28">
        <v>43993</v>
      </c>
      <c r="B799" s="6" t="s">
        <v>34</v>
      </c>
      <c r="C799" s="4">
        <v>14.12</v>
      </c>
    </row>
    <row r="800" spans="1:3" x14ac:dyDescent="0.3">
      <c r="A800" s="28">
        <v>43993</v>
      </c>
      <c r="B800" s="6" t="s">
        <v>35</v>
      </c>
      <c r="C800" s="4">
        <v>30.34</v>
      </c>
    </row>
    <row r="801" spans="1:3" x14ac:dyDescent="0.3">
      <c r="A801" s="28">
        <v>43993</v>
      </c>
      <c r="B801" s="6" t="s">
        <v>36</v>
      </c>
      <c r="C801" s="4">
        <v>46.18</v>
      </c>
    </row>
    <row r="802" spans="1:3" x14ac:dyDescent="0.3">
      <c r="A802" s="28">
        <v>43994</v>
      </c>
      <c r="B802" s="6" t="s">
        <v>27</v>
      </c>
      <c r="C802" s="4">
        <v>16.739999999999998</v>
      </c>
    </row>
    <row r="803" spans="1:3" x14ac:dyDescent="0.3">
      <c r="A803" s="28">
        <v>43994</v>
      </c>
      <c r="B803" s="6" t="s">
        <v>28</v>
      </c>
      <c r="C803" s="4">
        <v>56.900002000000001</v>
      </c>
    </row>
    <row r="804" spans="1:3" x14ac:dyDescent="0.3">
      <c r="A804" s="28">
        <v>43994</v>
      </c>
      <c r="B804" s="6" t="s">
        <v>29</v>
      </c>
      <c r="C804" s="4">
        <v>82.519997000000004</v>
      </c>
    </row>
    <row r="805" spans="1:3" x14ac:dyDescent="0.3">
      <c r="A805" s="28">
        <v>43994</v>
      </c>
      <c r="B805" s="6" t="s">
        <v>30</v>
      </c>
      <c r="C805" s="4">
        <v>35.869999</v>
      </c>
    </row>
    <row r="806" spans="1:3" x14ac:dyDescent="0.3">
      <c r="A806" s="28">
        <v>43994</v>
      </c>
      <c r="B806" s="6" t="s">
        <v>31</v>
      </c>
      <c r="C806" s="4">
        <v>2.61</v>
      </c>
    </row>
    <row r="807" spans="1:3" x14ac:dyDescent="0.3">
      <c r="A807" s="28">
        <v>43994</v>
      </c>
      <c r="B807" s="6" t="s">
        <v>32</v>
      </c>
      <c r="C807" s="4">
        <v>8.6300000000000008</v>
      </c>
    </row>
    <row r="808" spans="1:3" x14ac:dyDescent="0.3">
      <c r="A808" s="28">
        <v>43994</v>
      </c>
      <c r="B808" s="6" t="s">
        <v>33</v>
      </c>
      <c r="C808" s="4">
        <v>23.201332000000001</v>
      </c>
    </row>
    <row r="809" spans="1:3" x14ac:dyDescent="0.3">
      <c r="A809" s="28">
        <v>43994</v>
      </c>
      <c r="B809" s="6" t="s">
        <v>34</v>
      </c>
      <c r="C809" s="4">
        <v>14.48</v>
      </c>
    </row>
    <row r="810" spans="1:3" x14ac:dyDescent="0.3">
      <c r="A810" s="28">
        <v>43994</v>
      </c>
      <c r="B810" s="6" t="s">
        <v>35</v>
      </c>
      <c r="C810" s="4">
        <v>30.860001</v>
      </c>
    </row>
    <row r="811" spans="1:3" x14ac:dyDescent="0.3">
      <c r="A811" s="28">
        <v>43994</v>
      </c>
      <c r="B811" s="6" t="s">
        <v>36</v>
      </c>
      <c r="C811" s="4">
        <v>47.169998</v>
      </c>
    </row>
    <row r="812" spans="1:3" x14ac:dyDescent="0.3">
      <c r="A812" s="28">
        <v>43997</v>
      </c>
      <c r="B812" s="6" t="s">
        <v>27</v>
      </c>
      <c r="C812" s="4">
        <v>16.700001</v>
      </c>
    </row>
    <row r="813" spans="1:3" x14ac:dyDescent="0.3">
      <c r="A813" s="28">
        <v>43997</v>
      </c>
      <c r="B813" s="6" t="s">
        <v>28</v>
      </c>
      <c r="C813" s="4">
        <v>59.369999</v>
      </c>
    </row>
    <row r="814" spans="1:3" x14ac:dyDescent="0.3">
      <c r="A814" s="28">
        <v>43997</v>
      </c>
      <c r="B814" s="6" t="s">
        <v>29</v>
      </c>
      <c r="C814" s="4">
        <v>84.269997000000004</v>
      </c>
    </row>
    <row r="815" spans="1:3" x14ac:dyDescent="0.3">
      <c r="A815" s="28">
        <v>43997</v>
      </c>
      <c r="B815" s="6" t="s">
        <v>30</v>
      </c>
      <c r="C815" s="4">
        <v>36.340000000000003</v>
      </c>
    </row>
    <row r="816" spans="1:3" x14ac:dyDescent="0.3">
      <c r="A816" s="28">
        <v>43997</v>
      </c>
      <c r="B816" s="6" t="s">
        <v>31</v>
      </c>
      <c r="C816" s="4">
        <v>2.87</v>
      </c>
    </row>
    <row r="817" spans="1:3" x14ac:dyDescent="0.3">
      <c r="A817" s="28">
        <v>43997</v>
      </c>
      <c r="B817" s="6" t="s">
        <v>32</v>
      </c>
      <c r="C817" s="4">
        <v>8.68</v>
      </c>
    </row>
    <row r="818" spans="1:3" x14ac:dyDescent="0.3">
      <c r="A818" s="28">
        <v>43997</v>
      </c>
      <c r="B818" s="6" t="s">
        <v>33</v>
      </c>
      <c r="C818" s="4">
        <v>24.580604999999998</v>
      </c>
    </row>
    <row r="819" spans="1:3" x14ac:dyDescent="0.3">
      <c r="A819" s="28">
        <v>43997</v>
      </c>
      <c r="B819" s="6" t="s">
        <v>34</v>
      </c>
      <c r="C819" s="4">
        <v>14.19</v>
      </c>
    </row>
    <row r="820" spans="1:3" x14ac:dyDescent="0.3">
      <c r="A820" s="28">
        <v>43997</v>
      </c>
      <c r="B820" s="6" t="s">
        <v>35</v>
      </c>
      <c r="C820" s="4">
        <v>30.870000999999998</v>
      </c>
    </row>
    <row r="821" spans="1:3" x14ac:dyDescent="0.3">
      <c r="A821" s="28">
        <v>43997</v>
      </c>
      <c r="B821" s="6" t="s">
        <v>36</v>
      </c>
      <c r="C821" s="4">
        <v>47.139999000000003</v>
      </c>
    </row>
    <row r="822" spans="1:3" x14ac:dyDescent="0.3">
      <c r="A822" s="28">
        <v>43998</v>
      </c>
      <c r="B822" s="6" t="s">
        <v>27</v>
      </c>
      <c r="C822" s="4">
        <v>17.030000999999999</v>
      </c>
    </row>
    <row r="823" spans="1:3" x14ac:dyDescent="0.3">
      <c r="A823" s="28">
        <v>43998</v>
      </c>
      <c r="B823" s="6" t="s">
        <v>28</v>
      </c>
      <c r="C823" s="4">
        <v>60.389999000000003</v>
      </c>
    </row>
    <row r="824" spans="1:3" x14ac:dyDescent="0.3">
      <c r="A824" s="28">
        <v>43998</v>
      </c>
      <c r="B824" s="6" t="s">
        <v>29</v>
      </c>
      <c r="C824" s="4">
        <v>85.300003000000004</v>
      </c>
    </row>
    <row r="825" spans="1:3" x14ac:dyDescent="0.3">
      <c r="A825" s="28">
        <v>43998</v>
      </c>
      <c r="B825" s="6" t="s">
        <v>30</v>
      </c>
      <c r="C825" s="4">
        <v>36.57</v>
      </c>
    </row>
    <row r="826" spans="1:3" x14ac:dyDescent="0.3">
      <c r="A826" s="28">
        <v>43998</v>
      </c>
      <c r="B826" s="6" t="s">
        <v>31</v>
      </c>
      <c r="C826" s="4">
        <v>2.81</v>
      </c>
    </row>
    <row r="827" spans="1:3" x14ac:dyDescent="0.3">
      <c r="A827" s="28">
        <v>43998</v>
      </c>
      <c r="B827" s="6" t="s">
        <v>32</v>
      </c>
      <c r="C827" s="4">
        <v>8.68</v>
      </c>
    </row>
    <row r="828" spans="1:3" x14ac:dyDescent="0.3">
      <c r="A828" s="28">
        <v>43998</v>
      </c>
      <c r="B828" s="6" t="s">
        <v>33</v>
      </c>
      <c r="C828" s="4">
        <v>25.250536</v>
      </c>
    </row>
    <row r="829" spans="1:3" x14ac:dyDescent="0.3">
      <c r="A829" s="28">
        <v>43998</v>
      </c>
      <c r="B829" s="6" t="s">
        <v>34</v>
      </c>
      <c r="C829" s="4">
        <v>14.99</v>
      </c>
    </row>
    <row r="830" spans="1:3" x14ac:dyDescent="0.3">
      <c r="A830" s="28">
        <v>43998</v>
      </c>
      <c r="B830" s="6" t="s">
        <v>35</v>
      </c>
      <c r="C830" s="4">
        <v>32.360000999999997</v>
      </c>
    </row>
    <row r="831" spans="1:3" x14ac:dyDescent="0.3">
      <c r="A831" s="28">
        <v>43998</v>
      </c>
      <c r="B831" s="6" t="s">
        <v>36</v>
      </c>
      <c r="C831" s="4">
        <v>48.200001</v>
      </c>
    </row>
    <row r="832" spans="1:3" x14ac:dyDescent="0.3">
      <c r="A832" s="28">
        <v>43999</v>
      </c>
      <c r="B832" s="6" t="s">
        <v>27</v>
      </c>
      <c r="C832" s="4">
        <v>16.98</v>
      </c>
    </row>
    <row r="833" spans="1:3" x14ac:dyDescent="0.3">
      <c r="A833" s="28">
        <v>43999</v>
      </c>
      <c r="B833" s="6" t="s">
        <v>28</v>
      </c>
      <c r="C833" s="4">
        <v>63.869999</v>
      </c>
    </row>
    <row r="834" spans="1:3" x14ac:dyDescent="0.3">
      <c r="A834" s="28">
        <v>43999</v>
      </c>
      <c r="B834" s="6" t="s">
        <v>29</v>
      </c>
      <c r="C834" s="4">
        <v>84.669998000000007</v>
      </c>
    </row>
    <row r="835" spans="1:3" x14ac:dyDescent="0.3">
      <c r="A835" s="28">
        <v>43999</v>
      </c>
      <c r="B835" s="6" t="s">
        <v>30</v>
      </c>
      <c r="C835" s="4">
        <v>36.310001</v>
      </c>
    </row>
    <row r="836" spans="1:3" x14ac:dyDescent="0.3">
      <c r="A836" s="28">
        <v>43999</v>
      </c>
      <c r="B836" s="6" t="s">
        <v>31</v>
      </c>
      <c r="C836" s="4">
        <v>2.58</v>
      </c>
    </row>
    <row r="837" spans="1:3" x14ac:dyDescent="0.3">
      <c r="A837" s="28">
        <v>43999</v>
      </c>
      <c r="B837" s="6" t="s">
        <v>32</v>
      </c>
      <c r="C837" s="4">
        <v>8.34</v>
      </c>
    </row>
    <row r="838" spans="1:3" x14ac:dyDescent="0.3">
      <c r="A838" s="28">
        <v>43999</v>
      </c>
      <c r="B838" s="6" t="s">
        <v>33</v>
      </c>
      <c r="C838" s="4">
        <v>24.797348</v>
      </c>
    </row>
    <row r="839" spans="1:3" x14ac:dyDescent="0.3">
      <c r="A839" s="28">
        <v>43999</v>
      </c>
      <c r="B839" s="6" t="s">
        <v>34</v>
      </c>
      <c r="C839" s="4">
        <v>14.22</v>
      </c>
    </row>
    <row r="840" spans="1:3" x14ac:dyDescent="0.3">
      <c r="A840" s="28">
        <v>43999</v>
      </c>
      <c r="B840" s="6" t="s">
        <v>35</v>
      </c>
      <c r="C840" s="4">
        <v>32.400002000000001</v>
      </c>
    </row>
    <row r="841" spans="1:3" x14ac:dyDescent="0.3">
      <c r="A841" s="28">
        <v>43999</v>
      </c>
      <c r="B841" s="6" t="s">
        <v>36</v>
      </c>
      <c r="C841" s="4">
        <v>46.630001</v>
      </c>
    </row>
    <row r="842" spans="1:3" x14ac:dyDescent="0.3">
      <c r="A842" s="28">
        <v>44000</v>
      </c>
      <c r="B842" s="6" t="s">
        <v>27</v>
      </c>
      <c r="C842" s="4">
        <v>16.489999999999998</v>
      </c>
    </row>
    <row r="843" spans="1:3" x14ac:dyDescent="0.3">
      <c r="A843" s="28">
        <v>44000</v>
      </c>
      <c r="B843" s="6" t="s">
        <v>28</v>
      </c>
      <c r="C843" s="4">
        <v>63.110000999999997</v>
      </c>
    </row>
    <row r="844" spans="1:3" x14ac:dyDescent="0.3">
      <c r="A844" s="28">
        <v>44000</v>
      </c>
      <c r="B844" s="6" t="s">
        <v>29</v>
      </c>
      <c r="C844" s="4">
        <v>84.400002000000001</v>
      </c>
    </row>
    <row r="845" spans="1:3" x14ac:dyDescent="0.3">
      <c r="A845" s="28">
        <v>44000</v>
      </c>
      <c r="B845" s="6" t="s">
        <v>30</v>
      </c>
      <c r="C845" s="4">
        <v>35.849997999999999</v>
      </c>
    </row>
    <row r="846" spans="1:3" x14ac:dyDescent="0.3">
      <c r="A846" s="28">
        <v>44000</v>
      </c>
      <c r="B846" s="6" t="s">
        <v>31</v>
      </c>
      <c r="C846" s="4">
        <v>2.61</v>
      </c>
    </row>
    <row r="847" spans="1:3" x14ac:dyDescent="0.3">
      <c r="A847" s="28">
        <v>44000</v>
      </c>
      <c r="B847" s="6" t="s">
        <v>32</v>
      </c>
      <c r="C847" s="4">
        <v>7.99</v>
      </c>
    </row>
    <row r="848" spans="1:3" x14ac:dyDescent="0.3">
      <c r="A848" s="28">
        <v>44000</v>
      </c>
      <c r="B848" s="6" t="s">
        <v>33</v>
      </c>
      <c r="C848" s="4">
        <v>24.688974000000002</v>
      </c>
    </row>
    <row r="849" spans="1:3" x14ac:dyDescent="0.3">
      <c r="A849" s="28">
        <v>44000</v>
      </c>
      <c r="B849" s="6" t="s">
        <v>34</v>
      </c>
      <c r="C849" s="4">
        <v>13.98</v>
      </c>
    </row>
    <row r="850" spans="1:3" x14ac:dyDescent="0.3">
      <c r="A850" s="28">
        <v>44000</v>
      </c>
      <c r="B850" s="6" t="s">
        <v>35</v>
      </c>
      <c r="C850" s="4">
        <v>34.220001000000003</v>
      </c>
    </row>
    <row r="851" spans="1:3" x14ac:dyDescent="0.3">
      <c r="A851" s="28">
        <v>44000</v>
      </c>
      <c r="B851" s="6" t="s">
        <v>36</v>
      </c>
      <c r="C851" s="4">
        <v>46.919998</v>
      </c>
    </row>
    <row r="852" spans="1:3" x14ac:dyDescent="0.3">
      <c r="A852" s="28">
        <v>44001</v>
      </c>
      <c r="B852" s="6" t="s">
        <v>27</v>
      </c>
      <c r="C852" s="4">
        <v>16</v>
      </c>
    </row>
    <row r="853" spans="1:3" x14ac:dyDescent="0.3">
      <c r="A853" s="28">
        <v>44001</v>
      </c>
      <c r="B853" s="6" t="s">
        <v>28</v>
      </c>
      <c r="C853" s="4">
        <v>67.809997999999993</v>
      </c>
    </row>
    <row r="854" spans="1:3" x14ac:dyDescent="0.3">
      <c r="A854" s="28">
        <v>44001</v>
      </c>
      <c r="B854" s="6" t="s">
        <v>29</v>
      </c>
      <c r="C854" s="4">
        <v>82.059997999999993</v>
      </c>
    </row>
    <row r="855" spans="1:3" x14ac:dyDescent="0.3">
      <c r="A855" s="28">
        <v>44001</v>
      </c>
      <c r="B855" s="6" t="s">
        <v>30</v>
      </c>
      <c r="C855" s="4">
        <v>34.549999</v>
      </c>
    </row>
    <row r="856" spans="1:3" x14ac:dyDescent="0.3">
      <c r="A856" s="28">
        <v>44001</v>
      </c>
      <c r="B856" s="6" t="s">
        <v>31</v>
      </c>
      <c r="C856" s="4">
        <v>2.54</v>
      </c>
    </row>
    <row r="857" spans="1:3" x14ac:dyDescent="0.3">
      <c r="A857" s="28">
        <v>44001</v>
      </c>
      <c r="B857" s="6" t="s">
        <v>32</v>
      </c>
      <c r="C857" s="4">
        <v>8.1</v>
      </c>
    </row>
    <row r="858" spans="1:3" x14ac:dyDescent="0.3">
      <c r="A858" s="28">
        <v>44001</v>
      </c>
      <c r="B858" s="6" t="s">
        <v>33</v>
      </c>
      <c r="C858" s="4">
        <v>24.137266</v>
      </c>
    </row>
    <row r="859" spans="1:3" x14ac:dyDescent="0.3">
      <c r="A859" s="28">
        <v>44001</v>
      </c>
      <c r="B859" s="6" t="s">
        <v>34</v>
      </c>
      <c r="C859" s="4">
        <v>13.53</v>
      </c>
    </row>
    <row r="860" spans="1:3" x14ac:dyDescent="0.3">
      <c r="A860" s="28">
        <v>44001</v>
      </c>
      <c r="B860" s="6" t="s">
        <v>35</v>
      </c>
      <c r="C860" s="4">
        <v>33.130001</v>
      </c>
    </row>
    <row r="861" spans="1:3" x14ac:dyDescent="0.3">
      <c r="A861" s="28">
        <v>44001</v>
      </c>
      <c r="B861" s="6" t="s">
        <v>36</v>
      </c>
      <c r="C861" s="4">
        <v>45.98</v>
      </c>
    </row>
    <row r="862" spans="1:3" x14ac:dyDescent="0.3">
      <c r="A862" s="28">
        <v>44004</v>
      </c>
      <c r="B862" s="6" t="s">
        <v>27</v>
      </c>
      <c r="C862" s="4">
        <v>14.92</v>
      </c>
    </row>
    <row r="863" spans="1:3" x14ac:dyDescent="0.3">
      <c r="A863" s="28">
        <v>44004</v>
      </c>
      <c r="B863" s="6" t="s">
        <v>28</v>
      </c>
      <c r="C863" s="4">
        <v>69.830001999999993</v>
      </c>
    </row>
    <row r="864" spans="1:3" x14ac:dyDescent="0.3">
      <c r="A864" s="28">
        <v>44004</v>
      </c>
      <c r="B864" s="6" t="s">
        <v>29</v>
      </c>
      <c r="C864" s="4">
        <v>83.120002999999997</v>
      </c>
    </row>
    <row r="865" spans="1:3" x14ac:dyDescent="0.3">
      <c r="A865" s="28">
        <v>44004</v>
      </c>
      <c r="B865" s="6" t="s">
        <v>30</v>
      </c>
      <c r="C865" s="4">
        <v>34.360000999999997</v>
      </c>
    </row>
    <row r="866" spans="1:3" x14ac:dyDescent="0.3">
      <c r="A866" s="28">
        <v>44004</v>
      </c>
      <c r="B866" s="6" t="s">
        <v>31</v>
      </c>
      <c r="C866" s="4">
        <v>2.4300000000000002</v>
      </c>
    </row>
    <row r="867" spans="1:3" x14ac:dyDescent="0.3">
      <c r="A867" s="28">
        <v>44004</v>
      </c>
      <c r="B867" s="6" t="s">
        <v>32</v>
      </c>
      <c r="C867" s="4">
        <v>8.11</v>
      </c>
    </row>
    <row r="868" spans="1:3" x14ac:dyDescent="0.3">
      <c r="A868" s="28">
        <v>44004</v>
      </c>
      <c r="B868" s="6" t="s">
        <v>33</v>
      </c>
      <c r="C868" s="4">
        <v>23.90082</v>
      </c>
    </row>
    <row r="869" spans="1:3" x14ac:dyDescent="0.3">
      <c r="A869" s="28">
        <v>44004</v>
      </c>
      <c r="B869" s="6" t="s">
        <v>34</v>
      </c>
      <c r="C869" s="4">
        <v>13.71</v>
      </c>
    </row>
    <row r="870" spans="1:3" x14ac:dyDescent="0.3">
      <c r="A870" s="28">
        <v>44004</v>
      </c>
      <c r="B870" s="6" t="s">
        <v>35</v>
      </c>
      <c r="C870" s="4">
        <v>34.209999000000003</v>
      </c>
    </row>
    <row r="871" spans="1:3" x14ac:dyDescent="0.3">
      <c r="A871" s="28">
        <v>44004</v>
      </c>
      <c r="B871" s="6" t="s">
        <v>36</v>
      </c>
      <c r="C871" s="4">
        <v>46.419998</v>
      </c>
    </row>
    <row r="872" spans="1:3" x14ac:dyDescent="0.3">
      <c r="A872" s="28">
        <v>44005</v>
      </c>
      <c r="B872" s="6" t="s">
        <v>27</v>
      </c>
      <c r="C872" s="4">
        <v>14</v>
      </c>
    </row>
    <row r="873" spans="1:3" x14ac:dyDescent="0.3">
      <c r="A873" s="28">
        <v>44005</v>
      </c>
      <c r="B873" s="6" t="s">
        <v>28</v>
      </c>
      <c r="C873" s="4">
        <v>66.720000999999996</v>
      </c>
    </row>
    <row r="874" spans="1:3" x14ac:dyDescent="0.3">
      <c r="A874" s="28">
        <v>44005</v>
      </c>
      <c r="B874" s="6" t="s">
        <v>29</v>
      </c>
      <c r="C874" s="4">
        <v>86.599997999999999</v>
      </c>
    </row>
    <row r="875" spans="1:3" x14ac:dyDescent="0.3">
      <c r="A875" s="28">
        <v>44005</v>
      </c>
      <c r="B875" s="6" t="s">
        <v>30</v>
      </c>
      <c r="C875" s="4">
        <v>34.75</v>
      </c>
    </row>
    <row r="876" spans="1:3" x14ac:dyDescent="0.3">
      <c r="A876" s="28">
        <v>44005</v>
      </c>
      <c r="B876" s="6" t="s">
        <v>31</v>
      </c>
      <c r="C876" s="4">
        <v>2.5</v>
      </c>
    </row>
    <row r="877" spans="1:3" x14ac:dyDescent="0.3">
      <c r="A877" s="28">
        <v>44005</v>
      </c>
      <c r="B877" s="6" t="s">
        <v>32</v>
      </c>
      <c r="C877" s="4">
        <v>8.56</v>
      </c>
    </row>
    <row r="878" spans="1:3" x14ac:dyDescent="0.3">
      <c r="A878" s="28">
        <v>44005</v>
      </c>
      <c r="B878" s="6" t="s">
        <v>33</v>
      </c>
      <c r="C878" s="4">
        <v>24.038747999999998</v>
      </c>
    </row>
    <row r="879" spans="1:3" x14ac:dyDescent="0.3">
      <c r="A879" s="28">
        <v>44005</v>
      </c>
      <c r="B879" s="6" t="s">
        <v>34</v>
      </c>
      <c r="C879" s="4">
        <v>13.78</v>
      </c>
    </row>
    <row r="880" spans="1:3" x14ac:dyDescent="0.3">
      <c r="A880" s="28">
        <v>44005</v>
      </c>
      <c r="B880" s="6" t="s">
        <v>35</v>
      </c>
      <c r="C880" s="4">
        <v>34.040000999999997</v>
      </c>
    </row>
    <row r="881" spans="1:3" x14ac:dyDescent="0.3">
      <c r="A881" s="28">
        <v>44005</v>
      </c>
      <c r="B881" s="6" t="s">
        <v>36</v>
      </c>
      <c r="C881" s="4">
        <v>46.700001</v>
      </c>
    </row>
    <row r="882" spans="1:3" x14ac:dyDescent="0.3">
      <c r="A882" s="28">
        <v>44006</v>
      </c>
      <c r="B882" s="6" t="s">
        <v>27</v>
      </c>
      <c r="C882" s="4">
        <v>13.04</v>
      </c>
    </row>
    <row r="883" spans="1:3" x14ac:dyDescent="0.3">
      <c r="A883" s="28">
        <v>44006</v>
      </c>
      <c r="B883" s="6" t="s">
        <v>28</v>
      </c>
      <c r="C883" s="4">
        <v>64.150002000000001</v>
      </c>
    </row>
    <row r="884" spans="1:3" x14ac:dyDescent="0.3">
      <c r="A884" s="28">
        <v>44006</v>
      </c>
      <c r="B884" s="6" t="s">
        <v>29</v>
      </c>
      <c r="C884" s="4">
        <v>81.239998</v>
      </c>
    </row>
    <row r="885" spans="1:3" x14ac:dyDescent="0.3">
      <c r="A885" s="28">
        <v>44006</v>
      </c>
      <c r="B885" s="6" t="s">
        <v>30</v>
      </c>
      <c r="C885" s="4">
        <v>32.25</v>
      </c>
    </row>
    <row r="886" spans="1:3" x14ac:dyDescent="0.3">
      <c r="A886" s="28">
        <v>44006</v>
      </c>
      <c r="B886" s="6" t="s">
        <v>31</v>
      </c>
      <c r="C886" s="4">
        <v>2.4300000000000002</v>
      </c>
    </row>
    <row r="887" spans="1:3" x14ac:dyDescent="0.3">
      <c r="A887" s="28">
        <v>44006</v>
      </c>
      <c r="B887" s="6" t="s">
        <v>32</v>
      </c>
      <c r="C887" s="4">
        <v>7.86</v>
      </c>
    </row>
    <row r="888" spans="1:3" x14ac:dyDescent="0.3">
      <c r="A888" s="28">
        <v>44006</v>
      </c>
      <c r="B888" s="6" t="s">
        <v>33</v>
      </c>
      <c r="C888" s="4">
        <v>23.427927</v>
      </c>
    </row>
    <row r="889" spans="1:3" x14ac:dyDescent="0.3">
      <c r="A889" s="28">
        <v>44006</v>
      </c>
      <c r="B889" s="6" t="s">
        <v>34</v>
      </c>
      <c r="C889" s="4">
        <v>12.8</v>
      </c>
    </row>
    <row r="890" spans="1:3" x14ac:dyDescent="0.3">
      <c r="A890" s="28">
        <v>44006</v>
      </c>
      <c r="B890" s="6" t="s">
        <v>35</v>
      </c>
      <c r="C890" s="4">
        <v>31.969999000000001</v>
      </c>
    </row>
    <row r="891" spans="1:3" x14ac:dyDescent="0.3">
      <c r="A891" s="28">
        <v>44006</v>
      </c>
      <c r="B891" s="6" t="s">
        <v>36</v>
      </c>
      <c r="C891" s="4">
        <v>44.5</v>
      </c>
    </row>
    <row r="892" spans="1:3" x14ac:dyDescent="0.3">
      <c r="A892" s="28">
        <v>44007</v>
      </c>
      <c r="B892" s="6" t="s">
        <v>27</v>
      </c>
      <c r="C892" s="4">
        <v>13.17</v>
      </c>
    </row>
    <row r="893" spans="1:3" x14ac:dyDescent="0.3">
      <c r="A893" s="28">
        <v>44007</v>
      </c>
      <c r="B893" s="6" t="s">
        <v>28</v>
      </c>
      <c r="C893" s="4">
        <v>64.949996999999996</v>
      </c>
    </row>
    <row r="894" spans="1:3" x14ac:dyDescent="0.3">
      <c r="A894" s="28">
        <v>44007</v>
      </c>
      <c r="B894" s="6" t="s">
        <v>29</v>
      </c>
      <c r="C894" s="4">
        <v>82.720000999999996</v>
      </c>
    </row>
    <row r="895" spans="1:3" x14ac:dyDescent="0.3">
      <c r="A895" s="28">
        <v>44007</v>
      </c>
      <c r="B895" s="6" t="s">
        <v>30</v>
      </c>
      <c r="C895" s="4">
        <v>32.970001000000003</v>
      </c>
    </row>
    <row r="896" spans="1:3" x14ac:dyDescent="0.3">
      <c r="A896" s="28">
        <v>44007</v>
      </c>
      <c r="B896" s="6" t="s">
        <v>31</v>
      </c>
      <c r="C896" s="4">
        <v>2.5099999999999998</v>
      </c>
    </row>
    <row r="897" spans="1:3" x14ac:dyDescent="0.3">
      <c r="A897" s="28">
        <v>44007</v>
      </c>
      <c r="B897" s="6" t="s">
        <v>32</v>
      </c>
      <c r="C897" s="4">
        <v>8.19</v>
      </c>
    </row>
    <row r="898" spans="1:3" x14ac:dyDescent="0.3">
      <c r="A898" s="28">
        <v>44007</v>
      </c>
      <c r="B898" s="6" t="s">
        <v>33</v>
      </c>
      <c r="C898" s="4">
        <v>23.969784000000001</v>
      </c>
    </row>
    <row r="899" spans="1:3" x14ac:dyDescent="0.3">
      <c r="A899" s="28">
        <v>44007</v>
      </c>
      <c r="B899" s="6" t="s">
        <v>34</v>
      </c>
      <c r="C899" s="4">
        <v>12.6</v>
      </c>
    </row>
    <row r="900" spans="1:3" x14ac:dyDescent="0.3">
      <c r="A900" s="28">
        <v>44007</v>
      </c>
      <c r="B900" s="6" t="s">
        <v>35</v>
      </c>
      <c r="C900" s="4">
        <v>32.82</v>
      </c>
    </row>
    <row r="901" spans="1:3" x14ac:dyDescent="0.3">
      <c r="A901" s="28">
        <v>44007</v>
      </c>
      <c r="B901" s="6" t="s">
        <v>36</v>
      </c>
      <c r="C901" s="4">
        <v>45.169998</v>
      </c>
    </row>
    <row r="902" spans="1:3" x14ac:dyDescent="0.3">
      <c r="A902" s="28">
        <v>44008</v>
      </c>
      <c r="B902" s="6" t="s">
        <v>27</v>
      </c>
      <c r="C902" s="4">
        <v>12.38</v>
      </c>
    </row>
    <row r="903" spans="1:3" x14ac:dyDescent="0.3">
      <c r="A903" s="28">
        <v>44008</v>
      </c>
      <c r="B903" s="6" t="s">
        <v>28</v>
      </c>
      <c r="C903" s="4">
        <v>65.419998000000007</v>
      </c>
    </row>
    <row r="904" spans="1:3" x14ac:dyDescent="0.3">
      <c r="A904" s="28">
        <v>44008</v>
      </c>
      <c r="B904" s="6" t="s">
        <v>29</v>
      </c>
      <c r="C904" s="4">
        <v>77.589995999999999</v>
      </c>
    </row>
    <row r="905" spans="1:3" x14ac:dyDescent="0.3">
      <c r="A905" s="28">
        <v>44008</v>
      </c>
      <c r="B905" s="6" t="s">
        <v>30</v>
      </c>
      <c r="C905" s="4">
        <v>31.959999</v>
      </c>
    </row>
    <row r="906" spans="1:3" x14ac:dyDescent="0.3">
      <c r="A906" s="28">
        <v>44008</v>
      </c>
      <c r="B906" s="6" t="s">
        <v>31</v>
      </c>
      <c r="C906" s="4">
        <v>2.2999999999999998</v>
      </c>
    </row>
    <row r="907" spans="1:3" x14ac:dyDescent="0.3">
      <c r="A907" s="28">
        <v>44008</v>
      </c>
      <c r="B907" s="6" t="s">
        <v>32</v>
      </c>
      <c r="C907" s="4">
        <v>7.68</v>
      </c>
    </row>
    <row r="908" spans="1:3" x14ac:dyDescent="0.3">
      <c r="A908" s="28">
        <v>44008</v>
      </c>
      <c r="B908" s="6" t="s">
        <v>33</v>
      </c>
      <c r="C908" s="4">
        <v>23.289999000000002</v>
      </c>
    </row>
    <row r="909" spans="1:3" x14ac:dyDescent="0.3">
      <c r="A909" s="28">
        <v>44008</v>
      </c>
      <c r="B909" s="6" t="s">
        <v>34</v>
      </c>
      <c r="C909" s="4">
        <v>12.55</v>
      </c>
    </row>
    <row r="910" spans="1:3" x14ac:dyDescent="0.3">
      <c r="A910" s="28">
        <v>44008</v>
      </c>
      <c r="B910" s="6" t="s">
        <v>35</v>
      </c>
      <c r="C910" s="4">
        <v>32.529998999999997</v>
      </c>
    </row>
    <row r="911" spans="1:3" x14ac:dyDescent="0.3">
      <c r="A911" s="28">
        <v>44008</v>
      </c>
      <c r="B911" s="6" t="s">
        <v>36</v>
      </c>
      <c r="C911" s="4">
        <v>43.619999</v>
      </c>
    </row>
    <row r="912" spans="1:3" x14ac:dyDescent="0.3">
      <c r="A912" s="28">
        <v>44011</v>
      </c>
      <c r="B912" s="6" t="s">
        <v>27</v>
      </c>
      <c r="C912" s="4">
        <v>13.32</v>
      </c>
    </row>
    <row r="913" spans="1:3" x14ac:dyDescent="0.3">
      <c r="A913" s="28">
        <v>44011</v>
      </c>
      <c r="B913" s="6" t="s">
        <v>28</v>
      </c>
      <c r="C913" s="4">
        <v>66.730002999999996</v>
      </c>
    </row>
    <row r="914" spans="1:3" x14ac:dyDescent="0.3">
      <c r="A914" s="28">
        <v>44011</v>
      </c>
      <c r="B914" s="6" t="s">
        <v>29</v>
      </c>
      <c r="C914" s="4">
        <v>82.669998000000007</v>
      </c>
    </row>
    <row r="915" spans="1:3" x14ac:dyDescent="0.3">
      <c r="A915" s="28">
        <v>44011</v>
      </c>
      <c r="B915" s="6" t="s">
        <v>30</v>
      </c>
      <c r="C915" s="4">
        <v>35.040000999999997</v>
      </c>
    </row>
    <row r="916" spans="1:3" x14ac:dyDescent="0.3">
      <c r="A916" s="28">
        <v>44011</v>
      </c>
      <c r="B916" s="6" t="s">
        <v>31</v>
      </c>
      <c r="C916" s="4">
        <v>2.5</v>
      </c>
    </row>
    <row r="917" spans="1:3" x14ac:dyDescent="0.3">
      <c r="A917" s="28">
        <v>44011</v>
      </c>
      <c r="B917" s="6" t="s">
        <v>32</v>
      </c>
      <c r="C917" s="4">
        <v>7.79</v>
      </c>
    </row>
    <row r="918" spans="1:3" x14ac:dyDescent="0.3">
      <c r="A918" s="28">
        <v>44011</v>
      </c>
      <c r="B918" s="6" t="s">
        <v>33</v>
      </c>
      <c r="C918" s="4">
        <v>23.950001</v>
      </c>
    </row>
    <row r="919" spans="1:3" x14ac:dyDescent="0.3">
      <c r="A919" s="28">
        <v>44011</v>
      </c>
      <c r="B919" s="6" t="s">
        <v>34</v>
      </c>
      <c r="C919" s="4">
        <v>13.35</v>
      </c>
    </row>
    <row r="920" spans="1:3" x14ac:dyDescent="0.3">
      <c r="A920" s="28">
        <v>44011</v>
      </c>
      <c r="B920" s="6" t="s">
        <v>35</v>
      </c>
      <c r="C920" s="4">
        <v>30.870000999999998</v>
      </c>
    </row>
    <row r="921" spans="1:3" x14ac:dyDescent="0.3">
      <c r="A921" s="28">
        <v>44011</v>
      </c>
      <c r="B921" s="6" t="s">
        <v>36</v>
      </c>
      <c r="C921" s="4">
        <v>44.32</v>
      </c>
    </row>
    <row r="922" spans="1:3" x14ac:dyDescent="0.3">
      <c r="A922" s="28">
        <v>44012</v>
      </c>
      <c r="B922" s="6" t="s">
        <v>27</v>
      </c>
      <c r="C922" s="4">
        <v>13.07</v>
      </c>
    </row>
    <row r="923" spans="1:3" x14ac:dyDescent="0.3">
      <c r="A923" s="28">
        <v>44012</v>
      </c>
      <c r="B923" s="6" t="s">
        <v>28</v>
      </c>
      <c r="C923" s="4">
        <v>67.260002</v>
      </c>
    </row>
    <row r="924" spans="1:3" x14ac:dyDescent="0.3">
      <c r="A924" s="28">
        <v>44012</v>
      </c>
      <c r="B924" s="6" t="s">
        <v>29</v>
      </c>
      <c r="C924" s="4">
        <v>82.199996999999996</v>
      </c>
    </row>
    <row r="925" spans="1:3" x14ac:dyDescent="0.3">
      <c r="A925" s="28">
        <v>44012</v>
      </c>
      <c r="B925" s="6" t="s">
        <v>30</v>
      </c>
      <c r="C925" s="4">
        <v>34.18</v>
      </c>
    </row>
    <row r="926" spans="1:3" x14ac:dyDescent="0.3">
      <c r="A926" s="28">
        <v>44012</v>
      </c>
      <c r="B926" s="6" t="s">
        <v>31</v>
      </c>
      <c r="C926" s="4">
        <v>2.4900000000000002</v>
      </c>
    </row>
    <row r="927" spans="1:3" x14ac:dyDescent="0.3">
      <c r="A927" s="28">
        <v>44012</v>
      </c>
      <c r="B927" s="6" t="s">
        <v>32</v>
      </c>
      <c r="C927" s="4">
        <v>7.71</v>
      </c>
    </row>
    <row r="928" spans="1:3" x14ac:dyDescent="0.3">
      <c r="A928" s="28">
        <v>44012</v>
      </c>
      <c r="B928" s="6" t="s">
        <v>33</v>
      </c>
      <c r="C928" s="4">
        <v>23.809999000000001</v>
      </c>
    </row>
    <row r="929" spans="1:3" x14ac:dyDescent="0.3">
      <c r="A929" s="28">
        <v>44012</v>
      </c>
      <c r="B929" s="6" t="s">
        <v>34</v>
      </c>
      <c r="C929" s="4">
        <v>13.28</v>
      </c>
    </row>
    <row r="930" spans="1:3" x14ac:dyDescent="0.3">
      <c r="A930" s="28">
        <v>44012</v>
      </c>
      <c r="B930" s="6" t="s">
        <v>35</v>
      </c>
      <c r="C930" s="4">
        <v>31.09</v>
      </c>
    </row>
    <row r="931" spans="1:3" x14ac:dyDescent="0.3">
      <c r="A931" s="28">
        <v>44012</v>
      </c>
      <c r="B931" s="6" t="s">
        <v>36</v>
      </c>
      <c r="C931" s="4">
        <v>44.720001000000003</v>
      </c>
    </row>
    <row r="932" spans="1:3" x14ac:dyDescent="0.3">
      <c r="A932" s="28">
        <v>44013</v>
      </c>
      <c r="B932" s="6" t="s">
        <v>27</v>
      </c>
      <c r="C932" s="4">
        <v>12.81</v>
      </c>
    </row>
    <row r="933" spans="1:3" x14ac:dyDescent="0.3">
      <c r="A933" s="28">
        <v>44013</v>
      </c>
      <c r="B933" s="6" t="s">
        <v>28</v>
      </c>
      <c r="C933" s="4">
        <v>68.080001999999993</v>
      </c>
    </row>
    <row r="934" spans="1:3" x14ac:dyDescent="0.3">
      <c r="A934" s="28">
        <v>44013</v>
      </c>
      <c r="B934" s="6" t="s">
        <v>29</v>
      </c>
      <c r="C934" s="4">
        <v>84.440002000000007</v>
      </c>
    </row>
    <row r="935" spans="1:3" x14ac:dyDescent="0.3">
      <c r="A935" s="28">
        <v>44013</v>
      </c>
      <c r="B935" s="6" t="s">
        <v>30</v>
      </c>
      <c r="C935" s="4">
        <v>33.810001</v>
      </c>
    </row>
    <row r="936" spans="1:3" x14ac:dyDescent="0.3">
      <c r="A936" s="28">
        <v>44013</v>
      </c>
      <c r="B936" s="6" t="s">
        <v>31</v>
      </c>
      <c r="C936" s="4">
        <v>2.5</v>
      </c>
    </row>
    <row r="937" spans="1:3" x14ac:dyDescent="0.3">
      <c r="A937" s="28">
        <v>44013</v>
      </c>
      <c r="B937" s="6" t="s">
        <v>32</v>
      </c>
      <c r="C937" s="4">
        <v>7.52</v>
      </c>
    </row>
    <row r="938" spans="1:3" x14ac:dyDescent="0.3">
      <c r="A938" s="28">
        <v>44013</v>
      </c>
      <c r="B938" s="6" t="s">
        <v>33</v>
      </c>
      <c r="C938" s="4">
        <v>23.9</v>
      </c>
    </row>
    <row r="939" spans="1:3" x14ac:dyDescent="0.3">
      <c r="A939" s="28">
        <v>44013</v>
      </c>
      <c r="B939" s="6" t="s">
        <v>34</v>
      </c>
      <c r="C939" s="4">
        <v>12.97</v>
      </c>
    </row>
    <row r="940" spans="1:3" x14ac:dyDescent="0.3">
      <c r="A940" s="28">
        <v>44013</v>
      </c>
      <c r="B940" s="6" t="s">
        <v>35</v>
      </c>
      <c r="C940" s="4">
        <v>31.059999000000001</v>
      </c>
    </row>
    <row r="941" spans="1:3" x14ac:dyDescent="0.3">
      <c r="A941" s="28">
        <v>44013</v>
      </c>
      <c r="B941" s="6" t="s">
        <v>36</v>
      </c>
      <c r="C941" s="4">
        <v>43.709999000000003</v>
      </c>
    </row>
    <row r="942" spans="1:3" x14ac:dyDescent="0.3">
      <c r="A942" s="28">
        <v>44014</v>
      </c>
      <c r="B942" s="6" t="s">
        <v>27</v>
      </c>
      <c r="C942" s="4">
        <v>12.5</v>
      </c>
    </row>
    <row r="943" spans="1:3" x14ac:dyDescent="0.3">
      <c r="A943" s="28">
        <v>44014</v>
      </c>
      <c r="B943" s="6" t="s">
        <v>28</v>
      </c>
      <c r="C943" s="4">
        <v>70.199996999999996</v>
      </c>
    </row>
    <row r="944" spans="1:3" x14ac:dyDescent="0.3">
      <c r="A944" s="28">
        <v>44014</v>
      </c>
      <c r="B944" s="6" t="s">
        <v>29</v>
      </c>
      <c r="C944" s="4">
        <v>84.889999000000003</v>
      </c>
    </row>
    <row r="945" spans="1:3" x14ac:dyDescent="0.3">
      <c r="A945" s="28">
        <v>44014</v>
      </c>
      <c r="B945" s="6" t="s">
        <v>30</v>
      </c>
      <c r="C945" s="4">
        <v>34.119999</v>
      </c>
    </row>
    <row r="946" spans="1:3" x14ac:dyDescent="0.3">
      <c r="A946" s="28">
        <v>44014</v>
      </c>
      <c r="B946" s="6" t="s">
        <v>31</v>
      </c>
      <c r="C946" s="4">
        <v>2.5099999999999998</v>
      </c>
    </row>
    <row r="947" spans="1:3" x14ac:dyDescent="0.3">
      <c r="A947" s="28">
        <v>44014</v>
      </c>
      <c r="B947" s="6" t="s">
        <v>32</v>
      </c>
      <c r="C947" s="4">
        <v>7.84</v>
      </c>
    </row>
    <row r="948" spans="1:3" x14ac:dyDescent="0.3">
      <c r="A948" s="28">
        <v>44014</v>
      </c>
      <c r="B948" s="6" t="s">
        <v>33</v>
      </c>
      <c r="C948" s="4">
        <v>23.459999</v>
      </c>
    </row>
    <row r="949" spans="1:3" x14ac:dyDescent="0.3">
      <c r="A949" s="28">
        <v>44014</v>
      </c>
      <c r="B949" s="6" t="s">
        <v>34</v>
      </c>
      <c r="C949" s="4">
        <v>13.01</v>
      </c>
    </row>
    <row r="950" spans="1:3" x14ac:dyDescent="0.3">
      <c r="A950" s="28">
        <v>44014</v>
      </c>
      <c r="B950" s="6" t="s">
        <v>35</v>
      </c>
      <c r="C950" s="4">
        <v>30.309999000000001</v>
      </c>
    </row>
    <row r="951" spans="1:3" x14ac:dyDescent="0.3">
      <c r="A951" s="28">
        <v>44014</v>
      </c>
      <c r="B951" s="6" t="s">
        <v>36</v>
      </c>
      <c r="C951" s="4">
        <v>44.080002</v>
      </c>
    </row>
    <row r="952" spans="1:3" x14ac:dyDescent="0.3">
      <c r="A952" s="28">
        <v>44018</v>
      </c>
      <c r="B952" s="6" t="s">
        <v>27</v>
      </c>
      <c r="C952" s="4">
        <v>12.8</v>
      </c>
    </row>
    <row r="953" spans="1:3" x14ac:dyDescent="0.3">
      <c r="A953" s="28">
        <v>44018</v>
      </c>
      <c r="B953" s="6" t="s">
        <v>28</v>
      </c>
      <c r="C953" s="4">
        <v>71.269997000000004</v>
      </c>
    </row>
    <row r="954" spans="1:3" x14ac:dyDescent="0.3">
      <c r="A954" s="28">
        <v>44018</v>
      </c>
      <c r="B954" s="6" t="s">
        <v>29</v>
      </c>
      <c r="C954" s="4">
        <v>87.339995999999999</v>
      </c>
    </row>
    <row r="955" spans="1:3" x14ac:dyDescent="0.3">
      <c r="A955" s="28">
        <v>44018</v>
      </c>
      <c r="B955" s="6" t="s">
        <v>30</v>
      </c>
      <c r="C955" s="4">
        <v>34.299999</v>
      </c>
    </row>
    <row r="956" spans="1:3" x14ac:dyDescent="0.3">
      <c r="A956" s="28">
        <v>44018</v>
      </c>
      <c r="B956" s="6" t="s">
        <v>31</v>
      </c>
      <c r="C956" s="4">
        <v>2.56</v>
      </c>
    </row>
    <row r="957" spans="1:3" x14ac:dyDescent="0.3">
      <c r="A957" s="28">
        <v>44018</v>
      </c>
      <c r="B957" s="6" t="s">
        <v>32</v>
      </c>
      <c r="C957" s="4">
        <v>8.2799999999999994</v>
      </c>
    </row>
    <row r="958" spans="1:3" x14ac:dyDescent="0.3">
      <c r="A958" s="28">
        <v>44018</v>
      </c>
      <c r="B958" s="6" t="s">
        <v>33</v>
      </c>
      <c r="C958" s="4">
        <v>23.57</v>
      </c>
    </row>
    <row r="959" spans="1:3" x14ac:dyDescent="0.3">
      <c r="A959" s="28">
        <v>44018</v>
      </c>
      <c r="B959" s="6" t="s">
        <v>34</v>
      </c>
      <c r="C959" s="4">
        <v>13.18</v>
      </c>
    </row>
    <row r="960" spans="1:3" x14ac:dyDescent="0.3">
      <c r="A960" s="28">
        <v>44018</v>
      </c>
      <c r="B960" s="6" t="s">
        <v>35</v>
      </c>
      <c r="C960" s="4">
        <v>31.120000999999998</v>
      </c>
    </row>
    <row r="961" spans="1:3" x14ac:dyDescent="0.3">
      <c r="A961" s="28">
        <v>44018</v>
      </c>
      <c r="B961" s="6" t="s">
        <v>36</v>
      </c>
      <c r="C961" s="4">
        <v>44.389999000000003</v>
      </c>
    </row>
    <row r="962" spans="1:3" x14ac:dyDescent="0.3">
      <c r="A962" s="28">
        <v>44019</v>
      </c>
      <c r="B962" s="6" t="s">
        <v>27</v>
      </c>
      <c r="C962" s="4">
        <v>11.91</v>
      </c>
    </row>
    <row r="963" spans="1:3" x14ac:dyDescent="0.3">
      <c r="A963" s="28">
        <v>44019</v>
      </c>
      <c r="B963" s="6" t="s">
        <v>28</v>
      </c>
      <c r="C963" s="4">
        <v>71.239998</v>
      </c>
    </row>
    <row r="964" spans="1:3" x14ac:dyDescent="0.3">
      <c r="A964" s="28">
        <v>44019</v>
      </c>
      <c r="B964" s="6" t="s">
        <v>29</v>
      </c>
      <c r="C964" s="4">
        <v>85.050003000000004</v>
      </c>
    </row>
    <row r="965" spans="1:3" x14ac:dyDescent="0.3">
      <c r="A965" s="28">
        <v>44019</v>
      </c>
      <c r="B965" s="6" t="s">
        <v>30</v>
      </c>
      <c r="C965" s="4">
        <v>33.009998000000003</v>
      </c>
    </row>
    <row r="966" spans="1:3" x14ac:dyDescent="0.3">
      <c r="A966" s="28">
        <v>44019</v>
      </c>
      <c r="B966" s="6" t="s">
        <v>31</v>
      </c>
      <c r="C966" s="4">
        <v>2.38</v>
      </c>
    </row>
    <row r="967" spans="1:3" x14ac:dyDescent="0.3">
      <c r="A967" s="28">
        <v>44019</v>
      </c>
      <c r="B967" s="6" t="s">
        <v>32</v>
      </c>
      <c r="C967" s="4">
        <v>8.06</v>
      </c>
    </row>
    <row r="968" spans="1:3" x14ac:dyDescent="0.3">
      <c r="A968" s="28">
        <v>44019</v>
      </c>
      <c r="B968" s="6" t="s">
        <v>33</v>
      </c>
      <c r="C968" s="4">
        <v>22.379999000000002</v>
      </c>
    </row>
    <row r="969" spans="1:3" x14ac:dyDescent="0.3">
      <c r="A969" s="28">
        <v>44019</v>
      </c>
      <c r="B969" s="6" t="s">
        <v>34</v>
      </c>
      <c r="C969" s="4">
        <v>12.65</v>
      </c>
    </row>
    <row r="970" spans="1:3" x14ac:dyDescent="0.3">
      <c r="A970" s="28">
        <v>44019</v>
      </c>
      <c r="B970" s="6" t="s">
        <v>35</v>
      </c>
      <c r="C970" s="4">
        <v>31.48</v>
      </c>
    </row>
    <row r="971" spans="1:3" x14ac:dyDescent="0.3">
      <c r="A971" s="28">
        <v>44019</v>
      </c>
      <c r="B971" s="6" t="s">
        <v>36</v>
      </c>
      <c r="C971" s="4">
        <v>43.240001999999997</v>
      </c>
    </row>
    <row r="972" spans="1:3" x14ac:dyDescent="0.3">
      <c r="A972" s="28">
        <v>44020</v>
      </c>
      <c r="B972" s="6" t="s">
        <v>27</v>
      </c>
      <c r="C972" s="4">
        <v>11.99</v>
      </c>
    </row>
    <row r="973" spans="1:3" x14ac:dyDescent="0.3">
      <c r="A973" s="28">
        <v>44020</v>
      </c>
      <c r="B973" s="6" t="s">
        <v>28</v>
      </c>
      <c r="C973" s="4">
        <v>72.790001000000004</v>
      </c>
    </row>
    <row r="974" spans="1:3" x14ac:dyDescent="0.3">
      <c r="A974" s="28">
        <v>44020</v>
      </c>
      <c r="B974" s="6" t="s">
        <v>29</v>
      </c>
      <c r="C974" s="4">
        <v>84.199996999999996</v>
      </c>
    </row>
    <row r="975" spans="1:3" x14ac:dyDescent="0.3">
      <c r="A975" s="28">
        <v>44020</v>
      </c>
      <c r="B975" s="6" t="s">
        <v>30</v>
      </c>
      <c r="C975" s="4">
        <v>32.889999000000003</v>
      </c>
    </row>
    <row r="976" spans="1:3" x14ac:dyDescent="0.3">
      <c r="A976" s="28">
        <v>44020</v>
      </c>
      <c r="B976" s="6" t="s">
        <v>31</v>
      </c>
      <c r="C976" s="4">
        <v>2.4</v>
      </c>
    </row>
    <row r="977" spans="1:3" x14ac:dyDescent="0.3">
      <c r="A977" s="28">
        <v>44020</v>
      </c>
      <c r="B977" s="6" t="s">
        <v>32</v>
      </c>
      <c r="C977" s="4">
        <v>8.07</v>
      </c>
    </row>
    <row r="978" spans="1:3" x14ac:dyDescent="0.3">
      <c r="A978" s="28">
        <v>44020</v>
      </c>
      <c r="B978" s="6" t="s">
        <v>33</v>
      </c>
      <c r="C978" s="4">
        <v>22.299999</v>
      </c>
    </row>
    <row r="979" spans="1:3" x14ac:dyDescent="0.3">
      <c r="A979" s="28">
        <v>44020</v>
      </c>
      <c r="B979" s="6" t="s">
        <v>34</v>
      </c>
      <c r="C979" s="4">
        <v>13</v>
      </c>
    </row>
    <row r="980" spans="1:3" x14ac:dyDescent="0.3">
      <c r="A980" s="28">
        <v>44020</v>
      </c>
      <c r="B980" s="6" t="s">
        <v>35</v>
      </c>
      <c r="C980" s="4">
        <v>34.240001999999997</v>
      </c>
    </row>
    <row r="981" spans="1:3" x14ac:dyDescent="0.3">
      <c r="A981" s="28">
        <v>44020</v>
      </c>
      <c r="B981" s="6" t="s">
        <v>36</v>
      </c>
      <c r="C981" s="4">
        <v>43.139999000000003</v>
      </c>
    </row>
    <row r="982" spans="1:3" x14ac:dyDescent="0.3">
      <c r="A982" s="28">
        <v>44021</v>
      </c>
      <c r="B982" s="6" t="s">
        <v>27</v>
      </c>
      <c r="C982" s="4">
        <v>11.18</v>
      </c>
    </row>
    <row r="983" spans="1:3" x14ac:dyDescent="0.3">
      <c r="A983" s="28">
        <v>44021</v>
      </c>
      <c r="B983" s="6" t="s">
        <v>28</v>
      </c>
      <c r="C983" s="4">
        <v>72.809997999999993</v>
      </c>
    </row>
    <row r="984" spans="1:3" x14ac:dyDescent="0.3">
      <c r="A984" s="28">
        <v>44021</v>
      </c>
      <c r="B984" s="6" t="s">
        <v>29</v>
      </c>
      <c r="C984" s="4">
        <v>81.559997999999993</v>
      </c>
    </row>
    <row r="985" spans="1:3" x14ac:dyDescent="0.3">
      <c r="A985" s="28">
        <v>44021</v>
      </c>
      <c r="B985" s="6" t="s">
        <v>30</v>
      </c>
      <c r="C985" s="4">
        <v>31.57</v>
      </c>
    </row>
    <row r="986" spans="1:3" x14ac:dyDescent="0.3">
      <c r="A986" s="28">
        <v>44021</v>
      </c>
      <c r="B986" s="6" t="s">
        <v>31</v>
      </c>
      <c r="C986" s="4">
        <v>2.3199999999999998</v>
      </c>
    </row>
    <row r="987" spans="1:3" x14ac:dyDescent="0.3">
      <c r="A987" s="28">
        <v>44021</v>
      </c>
      <c r="B987" s="6" t="s">
        <v>32</v>
      </c>
      <c r="C987" s="4">
        <v>8.08</v>
      </c>
    </row>
    <row r="988" spans="1:3" x14ac:dyDescent="0.3">
      <c r="A988" s="28">
        <v>44021</v>
      </c>
      <c r="B988" s="6" t="s">
        <v>33</v>
      </c>
      <c r="C988" s="4">
        <v>21.440000999999999</v>
      </c>
    </row>
    <row r="989" spans="1:3" x14ac:dyDescent="0.3">
      <c r="A989" s="28">
        <v>44021</v>
      </c>
      <c r="B989" s="6" t="s">
        <v>34</v>
      </c>
      <c r="C989" s="4">
        <v>12.34</v>
      </c>
    </row>
    <row r="990" spans="1:3" x14ac:dyDescent="0.3">
      <c r="A990" s="28">
        <v>44021</v>
      </c>
      <c r="B990" s="6" t="s">
        <v>35</v>
      </c>
      <c r="C990" s="4">
        <v>34.020000000000003</v>
      </c>
    </row>
    <row r="991" spans="1:3" x14ac:dyDescent="0.3">
      <c r="A991" s="28">
        <v>44021</v>
      </c>
      <c r="B991" s="6" t="s">
        <v>36</v>
      </c>
      <c r="C991" s="4">
        <v>41.360000999999997</v>
      </c>
    </row>
    <row r="992" spans="1:3" x14ac:dyDescent="0.3">
      <c r="A992" s="28">
        <v>44022</v>
      </c>
      <c r="B992" s="6" t="s">
        <v>27</v>
      </c>
      <c r="C992" s="4">
        <v>11.94</v>
      </c>
    </row>
    <row r="993" spans="1:3" x14ac:dyDescent="0.3">
      <c r="A993" s="28">
        <v>44022</v>
      </c>
      <c r="B993" s="6" t="s">
        <v>28</v>
      </c>
      <c r="C993" s="4">
        <v>75.019997000000004</v>
      </c>
    </row>
    <row r="994" spans="1:3" x14ac:dyDescent="0.3">
      <c r="A994" s="28">
        <v>44022</v>
      </c>
      <c r="B994" s="6" t="s">
        <v>29</v>
      </c>
      <c r="C994" s="4">
        <v>83.540001000000004</v>
      </c>
    </row>
    <row r="995" spans="1:3" x14ac:dyDescent="0.3">
      <c r="A995" s="28">
        <v>44022</v>
      </c>
      <c r="B995" s="6" t="s">
        <v>30</v>
      </c>
      <c r="C995" s="4">
        <v>33.220001000000003</v>
      </c>
    </row>
    <row r="996" spans="1:3" x14ac:dyDescent="0.3">
      <c r="A996" s="28">
        <v>44022</v>
      </c>
      <c r="B996" s="6" t="s">
        <v>31</v>
      </c>
      <c r="C996" s="4">
        <v>2.48</v>
      </c>
    </row>
    <row r="997" spans="1:3" x14ac:dyDescent="0.3">
      <c r="A997" s="28">
        <v>44022</v>
      </c>
      <c r="B997" s="6" t="s">
        <v>32</v>
      </c>
      <c r="C997" s="4">
        <v>7.96</v>
      </c>
    </row>
    <row r="998" spans="1:3" x14ac:dyDescent="0.3">
      <c r="A998" s="28">
        <v>44022</v>
      </c>
      <c r="B998" s="6" t="s">
        <v>33</v>
      </c>
      <c r="C998" s="4">
        <v>22.120000999999998</v>
      </c>
    </row>
    <row r="999" spans="1:3" x14ac:dyDescent="0.3">
      <c r="A999" s="28">
        <v>44022</v>
      </c>
      <c r="B999" s="6" t="s">
        <v>34</v>
      </c>
      <c r="C999" s="4">
        <v>12.62</v>
      </c>
    </row>
    <row r="1000" spans="1:3" x14ac:dyDescent="0.3">
      <c r="A1000" s="28">
        <v>44022</v>
      </c>
      <c r="B1000" s="6" t="s">
        <v>35</v>
      </c>
      <c r="C1000" s="4">
        <v>33.840000000000003</v>
      </c>
    </row>
    <row r="1001" spans="1:3" x14ac:dyDescent="0.3">
      <c r="A1001" s="28">
        <v>44022</v>
      </c>
      <c r="B1001" s="6" t="s">
        <v>36</v>
      </c>
      <c r="C1001" s="4">
        <v>42.650002000000001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979"/>
  <sheetViews>
    <sheetView showGridLines="0" tabSelected="1" zoomScaleNormal="100" workbookViewId="0"/>
  </sheetViews>
  <sheetFormatPr defaultRowHeight="14.4" x14ac:dyDescent="0.3"/>
  <cols>
    <col min="1" max="1" width="10.5546875" style="12" bestFit="1" customWidth="1"/>
    <col min="2" max="2" width="16.33203125" bestFit="1" customWidth="1"/>
    <col min="3" max="3" width="8.88671875" style="11" customWidth="1"/>
    <col min="4" max="4" width="8.88671875" customWidth="1"/>
    <col min="5" max="5" width="13.33203125" bestFit="1" customWidth="1"/>
    <col min="6" max="6" width="9.77734375" bestFit="1" customWidth="1"/>
    <col min="7" max="7" width="8.88671875" customWidth="1"/>
    <col min="8" max="8" width="12.44140625" style="2" bestFit="1" customWidth="1"/>
    <col min="9" max="9" width="13.5546875" style="17" bestFit="1" customWidth="1"/>
    <col min="10" max="10" width="8.88671875" style="17" customWidth="1"/>
    <col min="11" max="11" width="8.88671875" style="14" customWidth="1"/>
    <col min="12" max="12" width="11.88671875" bestFit="1" customWidth="1"/>
    <col min="13" max="13" width="8.88671875" customWidth="1"/>
  </cols>
  <sheetData>
    <row r="1" spans="1:23" x14ac:dyDescent="0.3">
      <c r="A1" s="7" t="s">
        <v>6</v>
      </c>
      <c r="B1" s="7" t="s">
        <v>3</v>
      </c>
      <c r="C1" s="7" t="s">
        <v>5</v>
      </c>
      <c r="D1" s="7" t="s">
        <v>1</v>
      </c>
      <c r="E1" s="7" t="s">
        <v>61</v>
      </c>
      <c r="F1" s="7" t="s">
        <v>12</v>
      </c>
      <c r="G1" s="7" t="s">
        <v>4</v>
      </c>
      <c r="H1" s="7" t="s">
        <v>11</v>
      </c>
      <c r="I1" s="7" t="s">
        <v>13</v>
      </c>
      <c r="J1" s="7" t="s">
        <v>14</v>
      </c>
      <c r="K1" s="7" t="s">
        <v>15</v>
      </c>
      <c r="L1" s="7" t="s">
        <v>16</v>
      </c>
    </row>
    <row r="2" spans="1:23" x14ac:dyDescent="0.3">
      <c r="A2" s="6">
        <v>1</v>
      </c>
      <c r="B2" s="6" t="s">
        <v>26</v>
      </c>
      <c r="C2" s="6"/>
      <c r="D2" s="6"/>
      <c r="E2" s="6"/>
      <c r="F2" s="6"/>
      <c r="G2" s="6">
        <v>100000</v>
      </c>
      <c r="H2" s="29"/>
      <c r="I2" s="30"/>
      <c r="J2" s="30"/>
      <c r="K2" s="30"/>
      <c r="L2" s="6"/>
    </row>
    <row r="3" spans="1:23" x14ac:dyDescent="0.3">
      <c r="A3" s="6">
        <v>2</v>
      </c>
      <c r="B3" s="6" t="s">
        <v>39</v>
      </c>
      <c r="C3" s="6">
        <v>2000</v>
      </c>
      <c r="D3" s="6" t="s">
        <v>28</v>
      </c>
      <c r="E3" s="6"/>
      <c r="F3" s="6"/>
      <c r="G3" s="6"/>
      <c r="H3" s="29"/>
      <c r="I3" s="30"/>
      <c r="J3" s="30"/>
      <c r="K3" s="30"/>
      <c r="L3" s="6"/>
    </row>
    <row r="4" spans="1:23" x14ac:dyDescent="0.3">
      <c r="A4" s="6">
        <v>3</v>
      </c>
      <c r="B4" s="6" t="s">
        <v>39</v>
      </c>
      <c r="C4" s="6">
        <v>2000</v>
      </c>
      <c r="D4" s="6" t="s">
        <v>36</v>
      </c>
      <c r="E4" s="6"/>
      <c r="F4" s="6"/>
      <c r="G4" s="6"/>
      <c r="H4" s="29"/>
      <c r="I4" s="30"/>
      <c r="J4" s="30"/>
      <c r="K4" s="30"/>
      <c r="L4" s="6"/>
    </row>
    <row r="5" spans="1:23" x14ac:dyDescent="0.3">
      <c r="A5" s="6">
        <v>4</v>
      </c>
      <c r="B5" s="6" t="s">
        <v>42</v>
      </c>
      <c r="C5" s="6"/>
      <c r="D5" s="6"/>
      <c r="E5" s="45">
        <v>54838</v>
      </c>
      <c r="F5" s="6">
        <v>2</v>
      </c>
      <c r="G5" s="6">
        <v>100000</v>
      </c>
      <c r="H5" s="29">
        <v>0.03</v>
      </c>
      <c r="I5" s="30"/>
      <c r="J5" s="30"/>
      <c r="K5" s="30"/>
      <c r="L5" s="6"/>
    </row>
    <row r="6" spans="1:23" x14ac:dyDescent="0.3">
      <c r="A6" s="6">
        <v>5</v>
      </c>
      <c r="B6" s="6" t="s">
        <v>43</v>
      </c>
      <c r="C6" s="6"/>
      <c r="D6" s="6"/>
      <c r="E6" s="45">
        <v>47533</v>
      </c>
      <c r="F6" s="6">
        <v>4</v>
      </c>
      <c r="G6" s="6">
        <v>100000</v>
      </c>
      <c r="H6" s="29"/>
      <c r="I6" s="30"/>
      <c r="J6" s="30"/>
      <c r="K6" s="30"/>
      <c r="L6" s="6"/>
    </row>
    <row r="7" spans="1:23" x14ac:dyDescent="0.3">
      <c r="A7" s="19"/>
      <c r="B7" s="44"/>
      <c r="C7" s="19"/>
      <c r="D7" s="19"/>
      <c r="E7" s="42"/>
      <c r="F7" s="19"/>
      <c r="G7" s="19"/>
      <c r="H7" s="20"/>
      <c r="I7" s="43"/>
      <c r="J7" s="43"/>
      <c r="K7" s="21"/>
      <c r="L7" s="19"/>
    </row>
    <row r="8" spans="1:23" x14ac:dyDescent="0.3">
      <c r="A8"/>
      <c r="C8"/>
    </row>
    <row r="9" spans="1:23" x14ac:dyDescent="0.3">
      <c r="A9"/>
      <c r="C9"/>
    </row>
    <row r="10" spans="1:23" x14ac:dyDescent="0.3">
      <c r="A10"/>
      <c r="C10"/>
    </row>
    <row r="11" spans="1:23" x14ac:dyDescent="0.3">
      <c r="A11"/>
      <c r="C11"/>
    </row>
    <row r="12" spans="1:23" x14ac:dyDescent="0.3">
      <c r="A12"/>
      <c r="C12"/>
      <c r="N12" s="26" t="s">
        <v>25</v>
      </c>
    </row>
    <row r="13" spans="1:23" x14ac:dyDescent="0.3">
      <c r="A13"/>
      <c r="C13"/>
      <c r="N13" s="23" t="s">
        <v>63</v>
      </c>
      <c r="O13" s="24"/>
      <c r="P13" s="24"/>
      <c r="Q13" s="24"/>
      <c r="R13" s="24"/>
      <c r="S13" s="24"/>
      <c r="T13" s="24"/>
      <c r="U13" s="24"/>
      <c r="V13" s="24"/>
      <c r="W13" s="25"/>
    </row>
    <row r="14" spans="1:23" x14ac:dyDescent="0.3">
      <c r="A14"/>
      <c r="C14"/>
    </row>
    <row r="15" spans="1:23" x14ac:dyDescent="0.3">
      <c r="A15" s="11"/>
      <c r="C15"/>
      <c r="N15" s="40" t="s">
        <v>44</v>
      </c>
      <c r="O15" s="19"/>
      <c r="P15" s="19"/>
      <c r="Q15" s="19"/>
      <c r="R15" s="19"/>
      <c r="S15" s="19"/>
      <c r="T15" s="19"/>
      <c r="U15" s="19"/>
      <c r="V15" s="19"/>
      <c r="W15" s="19"/>
    </row>
    <row r="16" spans="1:23" x14ac:dyDescent="0.3">
      <c r="A16" s="11"/>
      <c r="C16"/>
      <c r="N16" s="41" t="s">
        <v>45</v>
      </c>
      <c r="O16" s="33"/>
      <c r="P16" s="33"/>
      <c r="Q16" s="33"/>
      <c r="R16" s="33"/>
      <c r="S16" s="33"/>
      <c r="T16" s="33"/>
      <c r="U16" s="33"/>
      <c r="V16" s="33"/>
      <c r="W16" s="34"/>
    </row>
    <row r="17" spans="1:23" x14ac:dyDescent="0.3">
      <c r="A17" s="11"/>
      <c r="C17"/>
      <c r="N17" s="35" t="s">
        <v>48</v>
      </c>
      <c r="O17" s="19"/>
      <c r="P17" s="19"/>
      <c r="Q17" s="19"/>
      <c r="R17" s="19"/>
      <c r="S17" s="19"/>
      <c r="T17" s="19"/>
      <c r="U17" s="19"/>
      <c r="V17" s="19"/>
      <c r="W17" s="36"/>
    </row>
    <row r="18" spans="1:23" x14ac:dyDescent="0.3">
      <c r="A18" s="11"/>
      <c r="C18"/>
      <c r="N18" s="35" t="s">
        <v>46</v>
      </c>
      <c r="O18" s="19"/>
      <c r="P18" s="19"/>
      <c r="Q18" s="19"/>
      <c r="R18" s="19"/>
      <c r="S18" s="19"/>
      <c r="T18" s="19"/>
      <c r="U18" s="19"/>
      <c r="V18" s="19"/>
      <c r="W18" s="36"/>
    </row>
    <row r="19" spans="1:23" x14ac:dyDescent="0.3">
      <c r="A19" s="11"/>
      <c r="C19"/>
      <c r="N19" s="35" t="s">
        <v>51</v>
      </c>
      <c r="O19" s="19"/>
      <c r="P19" s="19"/>
      <c r="Q19" s="19"/>
      <c r="R19" s="19"/>
      <c r="S19" s="19"/>
      <c r="T19" s="19"/>
      <c r="U19" s="19"/>
      <c r="V19" s="19"/>
      <c r="W19" s="36"/>
    </row>
    <row r="20" spans="1:23" x14ac:dyDescent="0.3">
      <c r="A20" s="11"/>
      <c r="C20"/>
      <c r="N20" s="35" t="s">
        <v>52</v>
      </c>
      <c r="O20" s="19"/>
      <c r="P20" s="19"/>
      <c r="Q20" s="19"/>
      <c r="R20" s="19"/>
      <c r="S20" s="19"/>
      <c r="T20" s="19"/>
      <c r="U20" s="19"/>
      <c r="V20" s="19"/>
      <c r="W20" s="36"/>
    </row>
    <row r="21" spans="1:23" x14ac:dyDescent="0.3">
      <c r="A21" s="11"/>
      <c r="C21"/>
      <c r="N21" s="35" t="s">
        <v>53</v>
      </c>
      <c r="O21" s="19"/>
      <c r="P21" s="19"/>
      <c r="Q21" s="19"/>
      <c r="R21" s="19"/>
      <c r="S21" s="19"/>
      <c r="T21" s="19"/>
      <c r="U21" s="19"/>
      <c r="V21" s="19"/>
      <c r="W21" s="36"/>
    </row>
    <row r="22" spans="1:23" x14ac:dyDescent="0.3">
      <c r="A22"/>
      <c r="C22"/>
      <c r="N22" s="35" t="s">
        <v>54</v>
      </c>
      <c r="O22" s="19"/>
      <c r="P22" s="19"/>
      <c r="Q22" s="19"/>
      <c r="R22" s="19"/>
      <c r="S22" s="19"/>
      <c r="T22" s="19"/>
      <c r="U22" s="19"/>
      <c r="V22" s="19"/>
      <c r="W22" s="36"/>
    </row>
    <row r="23" spans="1:23" x14ac:dyDescent="0.3">
      <c r="A23"/>
      <c r="C23"/>
      <c r="N23" s="35" t="s">
        <v>55</v>
      </c>
      <c r="O23" s="19"/>
      <c r="P23" s="19"/>
      <c r="Q23" s="19"/>
      <c r="R23" s="19"/>
      <c r="S23" s="19"/>
      <c r="T23" s="19"/>
      <c r="U23" s="19"/>
      <c r="V23" s="19"/>
      <c r="W23" s="36"/>
    </row>
    <row r="24" spans="1:23" x14ac:dyDescent="0.3">
      <c r="A24"/>
      <c r="C24"/>
      <c r="N24" s="35" t="s">
        <v>56</v>
      </c>
      <c r="O24" s="19"/>
      <c r="P24" s="19"/>
      <c r="Q24" s="19"/>
      <c r="R24" s="19"/>
      <c r="S24" s="19"/>
      <c r="T24" s="19"/>
      <c r="U24" s="19"/>
      <c r="V24" s="19"/>
      <c r="W24" s="36"/>
    </row>
    <row r="25" spans="1:23" x14ac:dyDescent="0.3">
      <c r="A25"/>
      <c r="C25"/>
      <c r="N25" s="37" t="s">
        <v>47</v>
      </c>
      <c r="O25" s="38"/>
      <c r="P25" s="38"/>
      <c r="Q25" s="38"/>
      <c r="R25" s="38"/>
      <c r="S25" s="38"/>
      <c r="T25" s="38"/>
      <c r="U25" s="38"/>
      <c r="V25" s="38"/>
      <c r="W25" s="39"/>
    </row>
    <row r="26" spans="1:23" x14ac:dyDescent="0.3">
      <c r="A26"/>
      <c r="C26"/>
    </row>
    <row r="27" spans="1:23" x14ac:dyDescent="0.3">
      <c r="A27"/>
      <c r="C27"/>
    </row>
    <row r="28" spans="1:23" x14ac:dyDescent="0.3">
      <c r="A28"/>
      <c r="C28"/>
    </row>
    <row r="29" spans="1:23" x14ac:dyDescent="0.3">
      <c r="A29"/>
      <c r="C29"/>
    </row>
    <row r="30" spans="1:23" x14ac:dyDescent="0.3">
      <c r="A30"/>
      <c r="C30"/>
    </row>
    <row r="31" spans="1:23" x14ac:dyDescent="0.3">
      <c r="A31"/>
      <c r="C31"/>
    </row>
    <row r="32" spans="1:23" x14ac:dyDescent="0.3">
      <c r="A32"/>
      <c r="C32"/>
    </row>
    <row r="33" spans="1:3" x14ac:dyDescent="0.3">
      <c r="A33"/>
      <c r="C33"/>
    </row>
    <row r="34" spans="1:3" x14ac:dyDescent="0.3">
      <c r="A34"/>
      <c r="C34"/>
    </row>
    <row r="35" spans="1:3" x14ac:dyDescent="0.3">
      <c r="A35"/>
      <c r="C35"/>
    </row>
    <row r="36" spans="1:3" x14ac:dyDescent="0.3">
      <c r="A36"/>
      <c r="C36"/>
    </row>
    <row r="37" spans="1:3" x14ac:dyDescent="0.3">
      <c r="A37"/>
      <c r="C37"/>
    </row>
    <row r="38" spans="1:3" x14ac:dyDescent="0.3">
      <c r="A38"/>
      <c r="C38"/>
    </row>
    <row r="39" spans="1:3" x14ac:dyDescent="0.3">
      <c r="A39"/>
      <c r="C39"/>
    </row>
    <row r="40" spans="1:3" x14ac:dyDescent="0.3">
      <c r="A40"/>
      <c r="C40"/>
    </row>
    <row r="41" spans="1:3" x14ac:dyDescent="0.3">
      <c r="A41"/>
      <c r="C41"/>
    </row>
    <row r="42" spans="1:3" x14ac:dyDescent="0.3">
      <c r="A42"/>
      <c r="C42"/>
    </row>
    <row r="43" spans="1:3" x14ac:dyDescent="0.3">
      <c r="A43"/>
      <c r="C43"/>
    </row>
    <row r="44" spans="1:3" x14ac:dyDescent="0.3">
      <c r="A44"/>
      <c r="C44"/>
    </row>
    <row r="45" spans="1:3" x14ac:dyDescent="0.3">
      <c r="A45"/>
      <c r="C45"/>
    </row>
    <row r="46" spans="1:3" x14ac:dyDescent="0.3">
      <c r="A46"/>
      <c r="C46"/>
    </row>
    <row r="47" spans="1:3" x14ac:dyDescent="0.3">
      <c r="A47"/>
      <c r="C47"/>
    </row>
    <row r="48" spans="1:3" x14ac:dyDescent="0.3">
      <c r="A48"/>
      <c r="C48"/>
    </row>
    <row r="49" spans="1:3" x14ac:dyDescent="0.3">
      <c r="A49"/>
      <c r="C49"/>
    </row>
    <row r="50" spans="1:3" x14ac:dyDescent="0.3">
      <c r="A50"/>
      <c r="C50"/>
    </row>
    <row r="51" spans="1:3" x14ac:dyDescent="0.3">
      <c r="A51"/>
      <c r="C51"/>
    </row>
    <row r="52" spans="1:3" x14ac:dyDescent="0.3">
      <c r="A52"/>
      <c r="C52"/>
    </row>
    <row r="53" spans="1:3" x14ac:dyDescent="0.3">
      <c r="A53"/>
      <c r="C53"/>
    </row>
    <row r="54" spans="1:3" x14ac:dyDescent="0.3">
      <c r="A54"/>
      <c r="C54"/>
    </row>
    <row r="55" spans="1:3" x14ac:dyDescent="0.3">
      <c r="A55"/>
      <c r="C55"/>
    </row>
    <row r="56" spans="1:3" x14ac:dyDescent="0.3">
      <c r="A56"/>
      <c r="C56"/>
    </row>
    <row r="57" spans="1:3" x14ac:dyDescent="0.3">
      <c r="A57"/>
      <c r="C57"/>
    </row>
    <row r="58" spans="1:3" x14ac:dyDescent="0.3">
      <c r="A58"/>
      <c r="C58"/>
    </row>
    <row r="59" spans="1:3" x14ac:dyDescent="0.3">
      <c r="A59"/>
      <c r="C59"/>
    </row>
    <row r="60" spans="1:3" x14ac:dyDescent="0.3">
      <c r="A60"/>
      <c r="C60"/>
    </row>
    <row r="61" spans="1:3" x14ac:dyDescent="0.3">
      <c r="A61"/>
      <c r="C61"/>
    </row>
    <row r="62" spans="1:3" x14ac:dyDescent="0.3">
      <c r="A62"/>
      <c r="C62"/>
    </row>
    <row r="63" spans="1:3" x14ac:dyDescent="0.3">
      <c r="A63"/>
      <c r="C63"/>
    </row>
    <row r="64" spans="1:3" x14ac:dyDescent="0.3">
      <c r="A64"/>
      <c r="C64"/>
    </row>
    <row r="65" spans="1:3" x14ac:dyDescent="0.3">
      <c r="A65"/>
      <c r="C65"/>
    </row>
    <row r="66" spans="1:3" x14ac:dyDescent="0.3">
      <c r="A66"/>
      <c r="C66"/>
    </row>
    <row r="67" spans="1:3" x14ac:dyDescent="0.3">
      <c r="A67"/>
      <c r="C67"/>
    </row>
    <row r="68" spans="1:3" x14ac:dyDescent="0.3">
      <c r="A68"/>
      <c r="C68"/>
    </row>
    <row r="69" spans="1:3" x14ac:dyDescent="0.3">
      <c r="A69"/>
      <c r="C69"/>
    </row>
    <row r="70" spans="1:3" x14ac:dyDescent="0.3">
      <c r="A70"/>
      <c r="C70"/>
    </row>
    <row r="71" spans="1:3" x14ac:dyDescent="0.3">
      <c r="A71"/>
      <c r="C71"/>
    </row>
    <row r="72" spans="1:3" x14ac:dyDescent="0.3">
      <c r="A72"/>
      <c r="C72"/>
    </row>
    <row r="73" spans="1:3" x14ac:dyDescent="0.3">
      <c r="A73"/>
      <c r="C73"/>
    </row>
    <row r="74" spans="1:3" x14ac:dyDescent="0.3">
      <c r="A74"/>
      <c r="C74"/>
    </row>
    <row r="75" spans="1:3" x14ac:dyDescent="0.3">
      <c r="A75"/>
      <c r="C75"/>
    </row>
    <row r="76" spans="1:3" x14ac:dyDescent="0.3">
      <c r="A76"/>
      <c r="C76"/>
    </row>
    <row r="77" spans="1:3" x14ac:dyDescent="0.3">
      <c r="A77"/>
      <c r="C77"/>
    </row>
    <row r="78" spans="1:3" x14ac:dyDescent="0.3">
      <c r="A78"/>
      <c r="C78"/>
    </row>
    <row r="79" spans="1:3" x14ac:dyDescent="0.3">
      <c r="A79"/>
      <c r="C79"/>
    </row>
    <row r="80" spans="1:3" x14ac:dyDescent="0.3">
      <c r="A80"/>
      <c r="C80"/>
    </row>
    <row r="81" spans="1:3" x14ac:dyDescent="0.3">
      <c r="A81"/>
      <c r="C81"/>
    </row>
    <row r="82" spans="1:3" x14ac:dyDescent="0.3">
      <c r="A82"/>
      <c r="C82"/>
    </row>
    <row r="83" spans="1:3" x14ac:dyDescent="0.3">
      <c r="A83"/>
      <c r="C83"/>
    </row>
    <row r="84" spans="1:3" x14ac:dyDescent="0.3">
      <c r="A84"/>
      <c r="C84"/>
    </row>
    <row r="85" spans="1:3" x14ac:dyDescent="0.3">
      <c r="A85"/>
      <c r="C85"/>
    </row>
    <row r="86" spans="1:3" x14ac:dyDescent="0.3">
      <c r="A86"/>
      <c r="C86"/>
    </row>
    <row r="87" spans="1:3" x14ac:dyDescent="0.3">
      <c r="A87"/>
      <c r="C87"/>
    </row>
    <row r="88" spans="1:3" x14ac:dyDescent="0.3">
      <c r="A88"/>
      <c r="C88"/>
    </row>
    <row r="89" spans="1:3" x14ac:dyDescent="0.3">
      <c r="A89"/>
      <c r="C89"/>
    </row>
    <row r="90" spans="1:3" x14ac:dyDescent="0.3">
      <c r="A90"/>
      <c r="C90"/>
    </row>
    <row r="91" spans="1:3" x14ac:dyDescent="0.3">
      <c r="A91"/>
      <c r="C91"/>
    </row>
    <row r="92" spans="1:3" x14ac:dyDescent="0.3">
      <c r="A92"/>
      <c r="C92"/>
    </row>
    <row r="93" spans="1:3" x14ac:dyDescent="0.3">
      <c r="A93"/>
      <c r="C93"/>
    </row>
    <row r="94" spans="1:3" x14ac:dyDescent="0.3">
      <c r="A94"/>
      <c r="C94"/>
    </row>
    <row r="95" spans="1:3" x14ac:dyDescent="0.3">
      <c r="A95"/>
      <c r="C95"/>
    </row>
    <row r="96" spans="1:3" x14ac:dyDescent="0.3">
      <c r="A96"/>
      <c r="C96"/>
    </row>
    <row r="97" spans="1:3" x14ac:dyDescent="0.3">
      <c r="A97"/>
      <c r="C97"/>
    </row>
    <row r="98" spans="1:3" x14ac:dyDescent="0.3">
      <c r="A98"/>
      <c r="C98"/>
    </row>
    <row r="99" spans="1:3" x14ac:dyDescent="0.3">
      <c r="A99"/>
      <c r="C99"/>
    </row>
    <row r="100" spans="1:3" x14ac:dyDescent="0.3">
      <c r="A100"/>
      <c r="C100"/>
    </row>
    <row r="101" spans="1:3" x14ac:dyDescent="0.3">
      <c r="A101"/>
      <c r="C101"/>
    </row>
    <row r="102" spans="1:3" x14ac:dyDescent="0.3">
      <c r="A102"/>
      <c r="C102"/>
    </row>
    <row r="103" spans="1:3" x14ac:dyDescent="0.3">
      <c r="A103"/>
      <c r="C103"/>
    </row>
    <row r="104" spans="1:3" x14ac:dyDescent="0.3">
      <c r="A104"/>
      <c r="C104"/>
    </row>
    <row r="105" spans="1:3" x14ac:dyDescent="0.3">
      <c r="A105"/>
      <c r="C105"/>
    </row>
    <row r="106" spans="1:3" x14ac:dyDescent="0.3">
      <c r="A106"/>
      <c r="C106"/>
    </row>
    <row r="107" spans="1:3" x14ac:dyDescent="0.3">
      <c r="A107"/>
      <c r="C107"/>
    </row>
    <row r="108" spans="1:3" x14ac:dyDescent="0.3">
      <c r="A108"/>
      <c r="C108"/>
    </row>
    <row r="109" spans="1:3" x14ac:dyDescent="0.3">
      <c r="A109"/>
      <c r="C109"/>
    </row>
    <row r="110" spans="1:3" x14ac:dyDescent="0.3">
      <c r="A110"/>
      <c r="C110"/>
    </row>
    <row r="111" spans="1:3" x14ac:dyDescent="0.3">
      <c r="A111"/>
      <c r="C111"/>
    </row>
    <row r="112" spans="1:3" x14ac:dyDescent="0.3">
      <c r="A112"/>
      <c r="C112"/>
    </row>
    <row r="113" spans="1:3" x14ac:dyDescent="0.3">
      <c r="A113"/>
      <c r="C113"/>
    </row>
    <row r="114" spans="1:3" x14ac:dyDescent="0.3">
      <c r="A114"/>
      <c r="C114"/>
    </row>
    <row r="115" spans="1:3" x14ac:dyDescent="0.3">
      <c r="A115"/>
      <c r="C115"/>
    </row>
    <row r="116" spans="1:3" x14ac:dyDescent="0.3">
      <c r="A116"/>
      <c r="C116"/>
    </row>
    <row r="117" spans="1:3" x14ac:dyDescent="0.3">
      <c r="A117"/>
      <c r="C117"/>
    </row>
    <row r="118" spans="1:3" x14ac:dyDescent="0.3">
      <c r="A118"/>
      <c r="C118"/>
    </row>
    <row r="119" spans="1:3" x14ac:dyDescent="0.3">
      <c r="A119"/>
      <c r="C119"/>
    </row>
    <row r="120" spans="1:3" x14ac:dyDescent="0.3">
      <c r="A120"/>
      <c r="C120"/>
    </row>
    <row r="121" spans="1:3" x14ac:dyDescent="0.3">
      <c r="A121"/>
      <c r="C121"/>
    </row>
    <row r="122" spans="1:3" x14ac:dyDescent="0.3">
      <c r="A122"/>
      <c r="C122"/>
    </row>
    <row r="123" spans="1:3" x14ac:dyDescent="0.3">
      <c r="A123"/>
      <c r="C123"/>
    </row>
    <row r="124" spans="1:3" x14ac:dyDescent="0.3">
      <c r="A124"/>
      <c r="C124"/>
    </row>
    <row r="125" spans="1:3" x14ac:dyDescent="0.3">
      <c r="A125"/>
      <c r="C125"/>
    </row>
    <row r="126" spans="1:3" x14ac:dyDescent="0.3">
      <c r="A126"/>
      <c r="C126"/>
    </row>
    <row r="127" spans="1:3" x14ac:dyDescent="0.3">
      <c r="A127"/>
      <c r="C127"/>
    </row>
    <row r="128" spans="1:3" x14ac:dyDescent="0.3">
      <c r="A128"/>
      <c r="C128"/>
    </row>
    <row r="129" spans="1:3" x14ac:dyDescent="0.3">
      <c r="A129"/>
      <c r="C129"/>
    </row>
    <row r="130" spans="1:3" x14ac:dyDescent="0.3">
      <c r="A130"/>
      <c r="C130"/>
    </row>
    <row r="131" spans="1:3" x14ac:dyDescent="0.3">
      <c r="A131"/>
      <c r="C131"/>
    </row>
    <row r="132" spans="1:3" x14ac:dyDescent="0.3">
      <c r="A132"/>
      <c r="C132"/>
    </row>
    <row r="133" spans="1:3" x14ac:dyDescent="0.3">
      <c r="A133"/>
      <c r="C133"/>
    </row>
    <row r="134" spans="1:3" x14ac:dyDescent="0.3">
      <c r="A134"/>
      <c r="C134"/>
    </row>
    <row r="135" spans="1:3" x14ac:dyDescent="0.3">
      <c r="A135"/>
      <c r="C135"/>
    </row>
    <row r="136" spans="1:3" x14ac:dyDescent="0.3">
      <c r="A136"/>
      <c r="C136"/>
    </row>
    <row r="137" spans="1:3" x14ac:dyDescent="0.3">
      <c r="A137"/>
      <c r="C137"/>
    </row>
    <row r="138" spans="1:3" x14ac:dyDescent="0.3">
      <c r="A138"/>
      <c r="C138"/>
    </row>
    <row r="139" spans="1:3" x14ac:dyDescent="0.3">
      <c r="A139"/>
      <c r="C139"/>
    </row>
    <row r="140" spans="1:3" x14ac:dyDescent="0.3">
      <c r="A140"/>
      <c r="C140"/>
    </row>
    <row r="141" spans="1:3" x14ac:dyDescent="0.3">
      <c r="A141"/>
      <c r="C141"/>
    </row>
    <row r="142" spans="1:3" x14ac:dyDescent="0.3">
      <c r="A142"/>
      <c r="C142"/>
    </row>
    <row r="143" spans="1:3" x14ac:dyDescent="0.3">
      <c r="A143"/>
      <c r="C143"/>
    </row>
    <row r="144" spans="1:3" x14ac:dyDescent="0.3">
      <c r="A144"/>
      <c r="C144"/>
    </row>
    <row r="145" spans="1:3" x14ac:dyDescent="0.3">
      <c r="A145"/>
      <c r="C145"/>
    </row>
    <row r="146" spans="1:3" x14ac:dyDescent="0.3">
      <c r="A146"/>
      <c r="C146"/>
    </row>
    <row r="147" spans="1:3" x14ac:dyDescent="0.3">
      <c r="A147"/>
      <c r="C147"/>
    </row>
    <row r="148" spans="1:3" x14ac:dyDescent="0.3">
      <c r="A148"/>
      <c r="C148"/>
    </row>
    <row r="149" spans="1:3" x14ac:dyDescent="0.3">
      <c r="A149"/>
      <c r="C149"/>
    </row>
    <row r="150" spans="1:3" x14ac:dyDescent="0.3">
      <c r="A150"/>
      <c r="C150"/>
    </row>
    <row r="151" spans="1:3" x14ac:dyDescent="0.3">
      <c r="A151"/>
      <c r="C151"/>
    </row>
    <row r="152" spans="1:3" x14ac:dyDescent="0.3">
      <c r="A152"/>
      <c r="C152"/>
    </row>
    <row r="153" spans="1:3" x14ac:dyDescent="0.3">
      <c r="A153"/>
      <c r="C153"/>
    </row>
    <row r="154" spans="1:3" x14ac:dyDescent="0.3">
      <c r="A154"/>
      <c r="C154"/>
    </row>
    <row r="155" spans="1:3" x14ac:dyDescent="0.3">
      <c r="A155"/>
      <c r="C155"/>
    </row>
    <row r="156" spans="1:3" x14ac:dyDescent="0.3">
      <c r="A156"/>
      <c r="C156"/>
    </row>
    <row r="157" spans="1:3" x14ac:dyDescent="0.3">
      <c r="A157"/>
      <c r="C157"/>
    </row>
    <row r="158" spans="1:3" x14ac:dyDescent="0.3">
      <c r="A158"/>
      <c r="C158"/>
    </row>
    <row r="159" spans="1:3" x14ac:dyDescent="0.3">
      <c r="A159"/>
      <c r="C159"/>
    </row>
    <row r="160" spans="1:3" x14ac:dyDescent="0.3">
      <c r="A160"/>
      <c r="C160"/>
    </row>
    <row r="161" spans="1:3" x14ac:dyDescent="0.3">
      <c r="A161"/>
      <c r="C161"/>
    </row>
    <row r="162" spans="1:3" x14ac:dyDescent="0.3">
      <c r="A162"/>
      <c r="C162"/>
    </row>
    <row r="163" spans="1:3" x14ac:dyDescent="0.3">
      <c r="A163"/>
      <c r="C163"/>
    </row>
    <row r="164" spans="1:3" x14ac:dyDescent="0.3">
      <c r="A164"/>
      <c r="C164"/>
    </row>
    <row r="165" spans="1:3" x14ac:dyDescent="0.3">
      <c r="A165"/>
      <c r="C165"/>
    </row>
    <row r="166" spans="1:3" x14ac:dyDescent="0.3">
      <c r="A166"/>
      <c r="C166"/>
    </row>
    <row r="167" spans="1:3" x14ac:dyDescent="0.3">
      <c r="A167"/>
      <c r="C167"/>
    </row>
    <row r="168" spans="1:3" x14ac:dyDescent="0.3">
      <c r="A168"/>
      <c r="C168"/>
    </row>
    <row r="169" spans="1:3" x14ac:dyDescent="0.3">
      <c r="A169"/>
      <c r="C169"/>
    </row>
    <row r="170" spans="1:3" x14ac:dyDescent="0.3">
      <c r="A170"/>
      <c r="C170"/>
    </row>
    <row r="171" spans="1:3" x14ac:dyDescent="0.3">
      <c r="A171"/>
      <c r="C171"/>
    </row>
    <row r="172" spans="1:3" x14ac:dyDescent="0.3">
      <c r="A172"/>
      <c r="C172"/>
    </row>
    <row r="173" spans="1:3" x14ac:dyDescent="0.3">
      <c r="A173"/>
      <c r="C173"/>
    </row>
    <row r="174" spans="1:3" x14ac:dyDescent="0.3">
      <c r="A174"/>
      <c r="C174"/>
    </row>
    <row r="175" spans="1:3" x14ac:dyDescent="0.3">
      <c r="A175"/>
      <c r="C175"/>
    </row>
    <row r="176" spans="1:3" x14ac:dyDescent="0.3">
      <c r="A176"/>
      <c r="C176"/>
    </row>
    <row r="177" spans="1:3" x14ac:dyDescent="0.3">
      <c r="A177"/>
      <c r="C177"/>
    </row>
    <row r="178" spans="1:3" x14ac:dyDescent="0.3">
      <c r="A178"/>
      <c r="C178"/>
    </row>
    <row r="179" spans="1:3" x14ac:dyDescent="0.3">
      <c r="A179"/>
      <c r="C179"/>
    </row>
    <row r="180" spans="1:3" x14ac:dyDescent="0.3">
      <c r="A180"/>
      <c r="C180"/>
    </row>
    <row r="181" spans="1:3" x14ac:dyDescent="0.3">
      <c r="A181"/>
      <c r="C181"/>
    </row>
    <row r="182" spans="1:3" x14ac:dyDescent="0.3">
      <c r="A182"/>
      <c r="C182"/>
    </row>
    <row r="183" spans="1:3" x14ac:dyDescent="0.3">
      <c r="A183"/>
      <c r="C183"/>
    </row>
    <row r="184" spans="1:3" x14ac:dyDescent="0.3">
      <c r="A184"/>
      <c r="C184"/>
    </row>
    <row r="185" spans="1:3" x14ac:dyDescent="0.3">
      <c r="A185"/>
      <c r="C185"/>
    </row>
    <row r="186" spans="1:3" x14ac:dyDescent="0.3">
      <c r="A186"/>
      <c r="C186"/>
    </row>
    <row r="187" spans="1:3" x14ac:dyDescent="0.3">
      <c r="A187"/>
      <c r="C187"/>
    </row>
    <row r="188" spans="1:3" x14ac:dyDescent="0.3">
      <c r="A188"/>
      <c r="C188"/>
    </row>
    <row r="189" spans="1:3" x14ac:dyDescent="0.3">
      <c r="A189"/>
      <c r="C189"/>
    </row>
    <row r="190" spans="1:3" x14ac:dyDescent="0.3">
      <c r="A190"/>
      <c r="C190"/>
    </row>
    <row r="191" spans="1:3" x14ac:dyDescent="0.3">
      <c r="A191"/>
      <c r="C191"/>
    </row>
    <row r="192" spans="1:3" x14ac:dyDescent="0.3">
      <c r="A192"/>
      <c r="C192"/>
    </row>
    <row r="193" spans="1:3" x14ac:dyDescent="0.3">
      <c r="A193"/>
      <c r="C193"/>
    </row>
    <row r="194" spans="1:3" x14ac:dyDescent="0.3">
      <c r="A194"/>
      <c r="C194"/>
    </row>
    <row r="195" spans="1:3" x14ac:dyDescent="0.3">
      <c r="A195"/>
      <c r="C195"/>
    </row>
    <row r="196" spans="1:3" x14ac:dyDescent="0.3">
      <c r="A196"/>
      <c r="C196"/>
    </row>
    <row r="197" spans="1:3" x14ac:dyDescent="0.3">
      <c r="A197"/>
      <c r="C197"/>
    </row>
    <row r="198" spans="1:3" x14ac:dyDescent="0.3">
      <c r="A198"/>
      <c r="C198"/>
    </row>
    <row r="199" spans="1:3" x14ac:dyDescent="0.3">
      <c r="A199"/>
      <c r="C199"/>
    </row>
    <row r="200" spans="1:3" x14ac:dyDescent="0.3">
      <c r="A200"/>
      <c r="C200"/>
    </row>
    <row r="201" spans="1:3" x14ac:dyDescent="0.3">
      <c r="A201"/>
      <c r="C201"/>
    </row>
    <row r="202" spans="1:3" x14ac:dyDescent="0.3">
      <c r="A202"/>
      <c r="C202"/>
    </row>
    <row r="203" spans="1:3" x14ac:dyDescent="0.3">
      <c r="A203"/>
      <c r="C203"/>
    </row>
    <row r="204" spans="1:3" x14ac:dyDescent="0.3">
      <c r="A204"/>
      <c r="C204"/>
    </row>
    <row r="205" spans="1:3" x14ac:dyDescent="0.3">
      <c r="A205"/>
      <c r="C205"/>
    </row>
    <row r="206" spans="1:3" x14ac:dyDescent="0.3">
      <c r="A206"/>
      <c r="C206"/>
    </row>
    <row r="207" spans="1:3" x14ac:dyDescent="0.3">
      <c r="A207"/>
      <c r="C207"/>
    </row>
    <row r="208" spans="1:3" x14ac:dyDescent="0.3">
      <c r="A208"/>
      <c r="C208"/>
    </row>
    <row r="209" spans="1:3" x14ac:dyDescent="0.3">
      <c r="A209"/>
      <c r="C209"/>
    </row>
    <row r="210" spans="1:3" x14ac:dyDescent="0.3">
      <c r="A210"/>
      <c r="C210"/>
    </row>
    <row r="211" spans="1:3" x14ac:dyDescent="0.3">
      <c r="A211"/>
      <c r="C211"/>
    </row>
    <row r="212" spans="1:3" x14ac:dyDescent="0.3">
      <c r="A212"/>
      <c r="C212"/>
    </row>
    <row r="213" spans="1:3" x14ac:dyDescent="0.3">
      <c r="A213"/>
      <c r="C213"/>
    </row>
    <row r="214" spans="1:3" x14ac:dyDescent="0.3">
      <c r="A214"/>
      <c r="C214"/>
    </row>
    <row r="215" spans="1:3" x14ac:dyDescent="0.3">
      <c r="A215"/>
      <c r="C215"/>
    </row>
    <row r="216" spans="1:3" x14ac:dyDescent="0.3">
      <c r="A216"/>
      <c r="C216"/>
    </row>
    <row r="217" spans="1:3" x14ac:dyDescent="0.3">
      <c r="A217"/>
      <c r="C217"/>
    </row>
    <row r="218" spans="1:3" x14ac:dyDescent="0.3">
      <c r="A218"/>
      <c r="C218"/>
    </row>
    <row r="219" spans="1:3" x14ac:dyDescent="0.3">
      <c r="A219"/>
      <c r="C219"/>
    </row>
    <row r="220" spans="1:3" x14ac:dyDescent="0.3">
      <c r="A220"/>
      <c r="C220"/>
    </row>
    <row r="221" spans="1:3" x14ac:dyDescent="0.3">
      <c r="A221"/>
      <c r="C221"/>
    </row>
    <row r="222" spans="1:3" x14ac:dyDescent="0.3">
      <c r="A222"/>
      <c r="C222"/>
    </row>
    <row r="223" spans="1:3" x14ac:dyDescent="0.3">
      <c r="A223"/>
      <c r="C223"/>
    </row>
    <row r="224" spans="1:3" x14ac:dyDescent="0.3">
      <c r="A224"/>
      <c r="C224"/>
    </row>
    <row r="225" spans="1:3" x14ac:dyDescent="0.3">
      <c r="A225"/>
      <c r="C225"/>
    </row>
    <row r="226" spans="1:3" x14ac:dyDescent="0.3">
      <c r="A226"/>
      <c r="C226"/>
    </row>
    <row r="227" spans="1:3" x14ac:dyDescent="0.3">
      <c r="A227"/>
      <c r="C227"/>
    </row>
    <row r="228" spans="1:3" x14ac:dyDescent="0.3">
      <c r="A228"/>
      <c r="C228"/>
    </row>
    <row r="229" spans="1:3" x14ac:dyDescent="0.3">
      <c r="A229"/>
      <c r="C229"/>
    </row>
    <row r="230" spans="1:3" x14ac:dyDescent="0.3">
      <c r="A230"/>
      <c r="C230"/>
    </row>
    <row r="231" spans="1:3" x14ac:dyDescent="0.3">
      <c r="A231"/>
      <c r="C231"/>
    </row>
    <row r="232" spans="1:3" x14ac:dyDescent="0.3">
      <c r="A232"/>
      <c r="C232"/>
    </row>
    <row r="233" spans="1:3" x14ac:dyDescent="0.3">
      <c r="A233"/>
      <c r="C233"/>
    </row>
    <row r="234" spans="1:3" x14ac:dyDescent="0.3">
      <c r="A234"/>
      <c r="C234"/>
    </row>
    <row r="235" spans="1:3" x14ac:dyDescent="0.3">
      <c r="A235"/>
      <c r="C235"/>
    </row>
    <row r="236" spans="1:3" x14ac:dyDescent="0.3">
      <c r="A236"/>
      <c r="C236"/>
    </row>
    <row r="237" spans="1:3" x14ac:dyDescent="0.3">
      <c r="A237"/>
      <c r="C237"/>
    </row>
    <row r="238" spans="1:3" x14ac:dyDescent="0.3">
      <c r="A238"/>
      <c r="C238"/>
    </row>
    <row r="239" spans="1:3" x14ac:dyDescent="0.3">
      <c r="A239"/>
      <c r="C239"/>
    </row>
    <row r="240" spans="1:3" x14ac:dyDescent="0.3">
      <c r="A240"/>
      <c r="C240"/>
    </row>
    <row r="241" spans="1:3" x14ac:dyDescent="0.3">
      <c r="A241"/>
      <c r="C241"/>
    </row>
    <row r="242" spans="1:3" x14ac:dyDescent="0.3">
      <c r="A242"/>
      <c r="C242"/>
    </row>
    <row r="243" spans="1:3" x14ac:dyDescent="0.3">
      <c r="A243"/>
      <c r="C243"/>
    </row>
    <row r="244" spans="1:3" x14ac:dyDescent="0.3">
      <c r="A244"/>
      <c r="C244"/>
    </row>
    <row r="245" spans="1:3" x14ac:dyDescent="0.3">
      <c r="A245"/>
      <c r="C245"/>
    </row>
    <row r="246" spans="1:3" x14ac:dyDescent="0.3">
      <c r="A246"/>
      <c r="C246"/>
    </row>
    <row r="247" spans="1:3" x14ac:dyDescent="0.3">
      <c r="A247"/>
      <c r="C247"/>
    </row>
    <row r="248" spans="1:3" x14ac:dyDescent="0.3">
      <c r="A248"/>
      <c r="C248"/>
    </row>
    <row r="249" spans="1:3" x14ac:dyDescent="0.3">
      <c r="A249"/>
      <c r="C249"/>
    </row>
    <row r="250" spans="1:3" x14ac:dyDescent="0.3">
      <c r="A250"/>
      <c r="C250"/>
    </row>
    <row r="251" spans="1:3" x14ac:dyDescent="0.3">
      <c r="A251"/>
      <c r="C251"/>
    </row>
    <row r="252" spans="1:3" x14ac:dyDescent="0.3">
      <c r="A252"/>
      <c r="C252"/>
    </row>
    <row r="253" spans="1:3" x14ac:dyDescent="0.3">
      <c r="A253"/>
      <c r="C253"/>
    </row>
    <row r="254" spans="1:3" x14ac:dyDescent="0.3">
      <c r="A254"/>
      <c r="C254"/>
    </row>
    <row r="255" spans="1:3" x14ac:dyDescent="0.3">
      <c r="A255"/>
      <c r="C255"/>
    </row>
    <row r="256" spans="1:3" x14ac:dyDescent="0.3">
      <c r="A256"/>
      <c r="C256"/>
    </row>
    <row r="257" spans="1:3" x14ac:dyDescent="0.3">
      <c r="A257"/>
      <c r="C257"/>
    </row>
    <row r="258" spans="1:3" x14ac:dyDescent="0.3">
      <c r="A258"/>
      <c r="C258"/>
    </row>
    <row r="259" spans="1:3" x14ac:dyDescent="0.3">
      <c r="A259"/>
      <c r="C259"/>
    </row>
    <row r="260" spans="1:3" x14ac:dyDescent="0.3">
      <c r="A260"/>
      <c r="C260"/>
    </row>
    <row r="261" spans="1:3" x14ac:dyDescent="0.3">
      <c r="A261"/>
      <c r="C261"/>
    </row>
    <row r="262" spans="1:3" x14ac:dyDescent="0.3">
      <c r="A262"/>
      <c r="C262"/>
    </row>
    <row r="263" spans="1:3" x14ac:dyDescent="0.3">
      <c r="A263"/>
      <c r="C263"/>
    </row>
    <row r="264" spans="1:3" x14ac:dyDescent="0.3">
      <c r="A264"/>
      <c r="C264"/>
    </row>
    <row r="265" spans="1:3" x14ac:dyDescent="0.3">
      <c r="A265"/>
      <c r="C265"/>
    </row>
    <row r="266" spans="1:3" x14ac:dyDescent="0.3">
      <c r="A266"/>
      <c r="C266"/>
    </row>
    <row r="267" spans="1:3" x14ac:dyDescent="0.3">
      <c r="A267"/>
      <c r="C267"/>
    </row>
    <row r="268" spans="1:3" x14ac:dyDescent="0.3">
      <c r="A268"/>
      <c r="C268"/>
    </row>
    <row r="269" spans="1:3" x14ac:dyDescent="0.3">
      <c r="A269"/>
      <c r="C269"/>
    </row>
    <row r="270" spans="1:3" x14ac:dyDescent="0.3">
      <c r="A270"/>
      <c r="C270"/>
    </row>
    <row r="271" spans="1:3" x14ac:dyDescent="0.3">
      <c r="A271"/>
      <c r="C271"/>
    </row>
    <row r="272" spans="1:3" x14ac:dyDescent="0.3">
      <c r="A272"/>
      <c r="C272"/>
    </row>
    <row r="273" spans="1:3" x14ac:dyDescent="0.3">
      <c r="A273"/>
      <c r="C273"/>
    </row>
    <row r="274" spans="1:3" x14ac:dyDescent="0.3">
      <c r="A274"/>
      <c r="C274"/>
    </row>
    <row r="275" spans="1:3" x14ac:dyDescent="0.3">
      <c r="A275"/>
      <c r="C275"/>
    </row>
    <row r="276" spans="1:3" x14ac:dyDescent="0.3">
      <c r="A276"/>
      <c r="C276"/>
    </row>
    <row r="277" spans="1:3" x14ac:dyDescent="0.3">
      <c r="A277"/>
      <c r="C277"/>
    </row>
    <row r="278" spans="1:3" x14ac:dyDescent="0.3">
      <c r="A278"/>
      <c r="C278"/>
    </row>
    <row r="279" spans="1:3" x14ac:dyDescent="0.3">
      <c r="A279"/>
      <c r="C279"/>
    </row>
    <row r="280" spans="1:3" x14ac:dyDescent="0.3">
      <c r="A280"/>
      <c r="C280"/>
    </row>
    <row r="281" spans="1:3" x14ac:dyDescent="0.3">
      <c r="A281"/>
      <c r="C281"/>
    </row>
    <row r="282" spans="1:3" x14ac:dyDescent="0.3">
      <c r="A282"/>
      <c r="C282"/>
    </row>
    <row r="283" spans="1:3" x14ac:dyDescent="0.3">
      <c r="A283"/>
      <c r="C283"/>
    </row>
    <row r="284" spans="1:3" x14ac:dyDescent="0.3">
      <c r="A284"/>
      <c r="C284"/>
    </row>
    <row r="285" spans="1:3" x14ac:dyDescent="0.3">
      <c r="A285"/>
      <c r="C285"/>
    </row>
    <row r="286" spans="1:3" x14ac:dyDescent="0.3">
      <c r="A286"/>
      <c r="C286"/>
    </row>
    <row r="287" spans="1:3" x14ac:dyDescent="0.3">
      <c r="A287"/>
      <c r="C287"/>
    </row>
    <row r="288" spans="1:3" x14ac:dyDescent="0.3">
      <c r="A288"/>
      <c r="C288"/>
    </row>
    <row r="289" spans="1:3" x14ac:dyDescent="0.3">
      <c r="A289"/>
      <c r="C289"/>
    </row>
    <row r="290" spans="1:3" x14ac:dyDescent="0.3">
      <c r="A290"/>
      <c r="C290"/>
    </row>
    <row r="291" spans="1:3" x14ac:dyDescent="0.3">
      <c r="A291"/>
      <c r="C291"/>
    </row>
    <row r="292" spans="1:3" x14ac:dyDescent="0.3">
      <c r="A292"/>
      <c r="C292"/>
    </row>
    <row r="293" spans="1:3" x14ac:dyDescent="0.3">
      <c r="A293"/>
      <c r="C293"/>
    </row>
    <row r="294" spans="1:3" x14ac:dyDescent="0.3">
      <c r="A294"/>
      <c r="C294"/>
    </row>
    <row r="295" spans="1:3" x14ac:dyDescent="0.3">
      <c r="A295"/>
      <c r="C295"/>
    </row>
    <row r="296" spans="1:3" x14ac:dyDescent="0.3">
      <c r="A296"/>
      <c r="C296"/>
    </row>
    <row r="297" spans="1:3" x14ac:dyDescent="0.3">
      <c r="A297"/>
      <c r="C297"/>
    </row>
    <row r="298" spans="1:3" x14ac:dyDescent="0.3">
      <c r="A298"/>
      <c r="C298"/>
    </row>
    <row r="299" spans="1:3" x14ac:dyDescent="0.3">
      <c r="A299"/>
      <c r="C299"/>
    </row>
    <row r="300" spans="1:3" x14ac:dyDescent="0.3">
      <c r="A300"/>
      <c r="C300"/>
    </row>
    <row r="301" spans="1:3" x14ac:dyDescent="0.3">
      <c r="A301"/>
      <c r="C301"/>
    </row>
    <row r="302" spans="1:3" x14ac:dyDescent="0.3">
      <c r="A302"/>
      <c r="C302"/>
    </row>
    <row r="303" spans="1:3" x14ac:dyDescent="0.3">
      <c r="A303"/>
      <c r="C303"/>
    </row>
    <row r="304" spans="1:3" x14ac:dyDescent="0.3">
      <c r="A304"/>
      <c r="C304"/>
    </row>
    <row r="305" spans="1:3" x14ac:dyDescent="0.3">
      <c r="A305"/>
      <c r="C305"/>
    </row>
    <row r="306" spans="1:3" x14ac:dyDescent="0.3">
      <c r="A306"/>
      <c r="C306"/>
    </row>
    <row r="307" spans="1:3" x14ac:dyDescent="0.3">
      <c r="A307"/>
      <c r="C307"/>
    </row>
    <row r="308" spans="1:3" x14ac:dyDescent="0.3">
      <c r="A308"/>
      <c r="C308"/>
    </row>
    <row r="309" spans="1:3" x14ac:dyDescent="0.3">
      <c r="A309"/>
      <c r="C309"/>
    </row>
    <row r="310" spans="1:3" x14ac:dyDescent="0.3">
      <c r="A310"/>
      <c r="C310"/>
    </row>
    <row r="311" spans="1:3" x14ac:dyDescent="0.3">
      <c r="A311"/>
      <c r="C311"/>
    </row>
    <row r="312" spans="1:3" x14ac:dyDescent="0.3">
      <c r="A312"/>
      <c r="C312"/>
    </row>
    <row r="313" spans="1:3" x14ac:dyDescent="0.3">
      <c r="A313"/>
      <c r="C313"/>
    </row>
    <row r="314" spans="1:3" x14ac:dyDescent="0.3">
      <c r="A314"/>
      <c r="C314"/>
    </row>
    <row r="315" spans="1:3" x14ac:dyDescent="0.3">
      <c r="A315"/>
      <c r="C315"/>
    </row>
    <row r="316" spans="1:3" x14ac:dyDescent="0.3">
      <c r="A316"/>
      <c r="C316"/>
    </row>
    <row r="317" spans="1:3" x14ac:dyDescent="0.3">
      <c r="A317"/>
      <c r="C317"/>
    </row>
    <row r="318" spans="1:3" x14ac:dyDescent="0.3">
      <c r="A318"/>
      <c r="C318"/>
    </row>
    <row r="319" spans="1:3" x14ac:dyDescent="0.3">
      <c r="A319"/>
      <c r="C319"/>
    </row>
    <row r="320" spans="1:3" x14ac:dyDescent="0.3">
      <c r="A320"/>
      <c r="C320"/>
    </row>
    <row r="321" spans="1:3" x14ac:dyDescent="0.3">
      <c r="A321"/>
      <c r="C321"/>
    </row>
    <row r="322" spans="1:3" x14ac:dyDescent="0.3">
      <c r="A322"/>
      <c r="C322"/>
    </row>
    <row r="323" spans="1:3" x14ac:dyDescent="0.3">
      <c r="A323"/>
      <c r="C323"/>
    </row>
    <row r="324" spans="1:3" x14ac:dyDescent="0.3">
      <c r="A324"/>
      <c r="C324"/>
    </row>
    <row r="325" spans="1:3" x14ac:dyDescent="0.3">
      <c r="A325"/>
      <c r="C325"/>
    </row>
    <row r="326" spans="1:3" x14ac:dyDescent="0.3">
      <c r="A326"/>
      <c r="C326"/>
    </row>
    <row r="327" spans="1:3" x14ac:dyDescent="0.3">
      <c r="A327"/>
      <c r="C327"/>
    </row>
    <row r="328" spans="1:3" x14ac:dyDescent="0.3">
      <c r="A328"/>
      <c r="C328"/>
    </row>
    <row r="329" spans="1:3" x14ac:dyDescent="0.3">
      <c r="A329"/>
      <c r="C329"/>
    </row>
    <row r="330" spans="1:3" x14ac:dyDescent="0.3">
      <c r="A330"/>
      <c r="C330"/>
    </row>
    <row r="331" spans="1:3" x14ac:dyDescent="0.3">
      <c r="A331"/>
      <c r="C331"/>
    </row>
    <row r="332" spans="1:3" x14ac:dyDescent="0.3">
      <c r="A332"/>
      <c r="C332"/>
    </row>
    <row r="333" spans="1:3" x14ac:dyDescent="0.3">
      <c r="A333"/>
      <c r="C333"/>
    </row>
    <row r="334" spans="1:3" x14ac:dyDescent="0.3">
      <c r="A334"/>
      <c r="C334"/>
    </row>
    <row r="335" spans="1:3" x14ac:dyDescent="0.3">
      <c r="A335"/>
      <c r="C335"/>
    </row>
    <row r="336" spans="1:3" x14ac:dyDescent="0.3">
      <c r="A336"/>
      <c r="C336"/>
    </row>
    <row r="337" spans="1:3" x14ac:dyDescent="0.3">
      <c r="A337"/>
      <c r="C337"/>
    </row>
    <row r="338" spans="1:3" x14ac:dyDescent="0.3">
      <c r="A338"/>
      <c r="C338"/>
    </row>
    <row r="339" spans="1:3" x14ac:dyDescent="0.3">
      <c r="A339"/>
      <c r="C339"/>
    </row>
    <row r="340" spans="1:3" x14ac:dyDescent="0.3">
      <c r="A340"/>
      <c r="C340"/>
    </row>
    <row r="341" spans="1:3" x14ac:dyDescent="0.3">
      <c r="A341"/>
      <c r="C341"/>
    </row>
    <row r="342" spans="1:3" x14ac:dyDescent="0.3">
      <c r="A342"/>
      <c r="C342"/>
    </row>
    <row r="343" spans="1:3" x14ac:dyDescent="0.3">
      <c r="A343"/>
      <c r="C343"/>
    </row>
    <row r="344" spans="1:3" x14ac:dyDescent="0.3">
      <c r="A344"/>
      <c r="C344"/>
    </row>
    <row r="345" spans="1:3" x14ac:dyDescent="0.3">
      <c r="A345"/>
      <c r="C345"/>
    </row>
    <row r="346" spans="1:3" x14ac:dyDescent="0.3">
      <c r="A346"/>
      <c r="C346"/>
    </row>
    <row r="347" spans="1:3" x14ac:dyDescent="0.3">
      <c r="A347"/>
      <c r="C347"/>
    </row>
    <row r="348" spans="1:3" x14ac:dyDescent="0.3">
      <c r="A348"/>
      <c r="C348"/>
    </row>
    <row r="349" spans="1:3" x14ac:dyDescent="0.3">
      <c r="A349"/>
      <c r="C349"/>
    </row>
    <row r="350" spans="1:3" x14ac:dyDescent="0.3">
      <c r="A350"/>
      <c r="C350"/>
    </row>
    <row r="351" spans="1:3" x14ac:dyDescent="0.3">
      <c r="A351"/>
      <c r="C351"/>
    </row>
    <row r="352" spans="1:3" x14ac:dyDescent="0.3">
      <c r="A352"/>
      <c r="C352"/>
    </row>
    <row r="353" spans="1:3" x14ac:dyDescent="0.3">
      <c r="A353"/>
      <c r="C353"/>
    </row>
    <row r="354" spans="1:3" x14ac:dyDescent="0.3">
      <c r="A354"/>
      <c r="C354"/>
    </row>
    <row r="355" spans="1:3" x14ac:dyDescent="0.3">
      <c r="A355"/>
      <c r="C355"/>
    </row>
    <row r="356" spans="1:3" x14ac:dyDescent="0.3">
      <c r="A356"/>
      <c r="C356"/>
    </row>
    <row r="357" spans="1:3" x14ac:dyDescent="0.3">
      <c r="A357"/>
      <c r="C357"/>
    </row>
    <row r="358" spans="1:3" x14ac:dyDescent="0.3">
      <c r="A358"/>
      <c r="C358"/>
    </row>
    <row r="359" spans="1:3" x14ac:dyDescent="0.3">
      <c r="A359"/>
      <c r="C359"/>
    </row>
    <row r="360" spans="1:3" x14ac:dyDescent="0.3">
      <c r="A360"/>
      <c r="C360"/>
    </row>
    <row r="361" spans="1:3" x14ac:dyDescent="0.3">
      <c r="A361"/>
      <c r="C361"/>
    </row>
    <row r="362" spans="1:3" x14ac:dyDescent="0.3">
      <c r="A362"/>
      <c r="C362"/>
    </row>
    <row r="363" spans="1:3" x14ac:dyDescent="0.3">
      <c r="A363"/>
      <c r="C363"/>
    </row>
    <row r="364" spans="1:3" x14ac:dyDescent="0.3">
      <c r="A364"/>
      <c r="C364"/>
    </row>
    <row r="365" spans="1:3" x14ac:dyDescent="0.3">
      <c r="A365"/>
      <c r="C365"/>
    </row>
    <row r="366" spans="1:3" x14ac:dyDescent="0.3">
      <c r="A366"/>
      <c r="C366"/>
    </row>
    <row r="367" spans="1:3" x14ac:dyDescent="0.3">
      <c r="A367"/>
      <c r="C367"/>
    </row>
    <row r="368" spans="1:3" x14ac:dyDescent="0.3">
      <c r="A368"/>
      <c r="C368"/>
    </row>
    <row r="369" spans="1:3" x14ac:dyDescent="0.3">
      <c r="A369"/>
      <c r="C369"/>
    </row>
    <row r="370" spans="1:3" x14ac:dyDescent="0.3">
      <c r="A370"/>
      <c r="C370"/>
    </row>
    <row r="371" spans="1:3" x14ac:dyDescent="0.3">
      <c r="A371"/>
      <c r="C371"/>
    </row>
    <row r="372" spans="1:3" x14ac:dyDescent="0.3">
      <c r="A372"/>
      <c r="C372"/>
    </row>
    <row r="373" spans="1:3" x14ac:dyDescent="0.3">
      <c r="A373"/>
      <c r="C373"/>
    </row>
    <row r="374" spans="1:3" x14ac:dyDescent="0.3">
      <c r="A374"/>
      <c r="C374"/>
    </row>
    <row r="375" spans="1:3" x14ac:dyDescent="0.3">
      <c r="A375"/>
      <c r="C375"/>
    </row>
    <row r="376" spans="1:3" x14ac:dyDescent="0.3">
      <c r="A376"/>
      <c r="C376"/>
    </row>
    <row r="377" spans="1:3" x14ac:dyDescent="0.3">
      <c r="A377"/>
      <c r="C377"/>
    </row>
    <row r="378" spans="1:3" x14ac:dyDescent="0.3">
      <c r="A378"/>
      <c r="C378"/>
    </row>
    <row r="379" spans="1:3" x14ac:dyDescent="0.3">
      <c r="A379"/>
      <c r="C379"/>
    </row>
    <row r="380" spans="1:3" x14ac:dyDescent="0.3">
      <c r="A380"/>
      <c r="C380"/>
    </row>
    <row r="381" spans="1:3" x14ac:dyDescent="0.3">
      <c r="A381"/>
      <c r="C381"/>
    </row>
    <row r="382" spans="1:3" x14ac:dyDescent="0.3">
      <c r="A382"/>
      <c r="C382"/>
    </row>
    <row r="383" spans="1:3" x14ac:dyDescent="0.3">
      <c r="A383"/>
      <c r="C383"/>
    </row>
    <row r="384" spans="1:3" x14ac:dyDescent="0.3">
      <c r="A384"/>
      <c r="C384"/>
    </row>
    <row r="385" spans="1:3" x14ac:dyDescent="0.3">
      <c r="A385"/>
      <c r="C385"/>
    </row>
    <row r="386" spans="1:3" x14ac:dyDescent="0.3">
      <c r="A386"/>
      <c r="C386"/>
    </row>
    <row r="387" spans="1:3" x14ac:dyDescent="0.3">
      <c r="A387"/>
      <c r="C387"/>
    </row>
    <row r="388" spans="1:3" x14ac:dyDescent="0.3">
      <c r="A388"/>
      <c r="C388"/>
    </row>
    <row r="389" spans="1:3" x14ac:dyDescent="0.3">
      <c r="A389"/>
      <c r="C389"/>
    </row>
    <row r="390" spans="1:3" x14ac:dyDescent="0.3">
      <c r="A390"/>
      <c r="C390"/>
    </row>
    <row r="391" spans="1:3" x14ac:dyDescent="0.3">
      <c r="A391"/>
      <c r="C391"/>
    </row>
    <row r="392" spans="1:3" x14ac:dyDescent="0.3">
      <c r="A392"/>
      <c r="C392"/>
    </row>
    <row r="393" spans="1:3" x14ac:dyDescent="0.3">
      <c r="A393"/>
      <c r="C393"/>
    </row>
    <row r="394" spans="1:3" x14ac:dyDescent="0.3">
      <c r="A394"/>
      <c r="C394"/>
    </row>
    <row r="395" spans="1:3" x14ac:dyDescent="0.3">
      <c r="A395"/>
      <c r="C395"/>
    </row>
    <row r="396" spans="1:3" x14ac:dyDescent="0.3">
      <c r="A396"/>
      <c r="C396"/>
    </row>
    <row r="397" spans="1:3" x14ac:dyDescent="0.3">
      <c r="A397"/>
      <c r="C397"/>
    </row>
    <row r="398" spans="1:3" x14ac:dyDescent="0.3">
      <c r="A398"/>
      <c r="C398"/>
    </row>
    <row r="399" spans="1:3" x14ac:dyDescent="0.3">
      <c r="A399"/>
      <c r="C399"/>
    </row>
    <row r="400" spans="1:3" x14ac:dyDescent="0.3">
      <c r="A400"/>
      <c r="C400"/>
    </row>
    <row r="401" spans="1:3" x14ac:dyDescent="0.3">
      <c r="A401"/>
      <c r="C401"/>
    </row>
    <row r="402" spans="1:3" x14ac:dyDescent="0.3">
      <c r="A402"/>
      <c r="C402"/>
    </row>
    <row r="403" spans="1:3" x14ac:dyDescent="0.3">
      <c r="A403"/>
      <c r="C403"/>
    </row>
    <row r="404" spans="1:3" x14ac:dyDescent="0.3">
      <c r="A404"/>
      <c r="C404"/>
    </row>
    <row r="405" spans="1:3" x14ac:dyDescent="0.3">
      <c r="A405"/>
      <c r="C405"/>
    </row>
    <row r="406" spans="1:3" x14ac:dyDescent="0.3">
      <c r="A406"/>
      <c r="C406"/>
    </row>
    <row r="407" spans="1:3" x14ac:dyDescent="0.3">
      <c r="A407"/>
      <c r="C407"/>
    </row>
    <row r="408" spans="1:3" x14ac:dyDescent="0.3">
      <c r="A408"/>
      <c r="C408"/>
    </row>
    <row r="409" spans="1:3" x14ac:dyDescent="0.3">
      <c r="A409"/>
      <c r="C409"/>
    </row>
    <row r="410" spans="1:3" x14ac:dyDescent="0.3">
      <c r="A410"/>
      <c r="C410"/>
    </row>
    <row r="411" spans="1:3" x14ac:dyDescent="0.3">
      <c r="A411"/>
      <c r="C411"/>
    </row>
    <row r="412" spans="1:3" x14ac:dyDescent="0.3">
      <c r="A412"/>
      <c r="C412"/>
    </row>
    <row r="413" spans="1:3" x14ac:dyDescent="0.3">
      <c r="A413"/>
      <c r="C413"/>
    </row>
    <row r="414" spans="1:3" x14ac:dyDescent="0.3">
      <c r="A414"/>
      <c r="C414"/>
    </row>
    <row r="415" spans="1:3" x14ac:dyDescent="0.3">
      <c r="A415"/>
      <c r="C415"/>
    </row>
    <row r="416" spans="1:3" x14ac:dyDescent="0.3">
      <c r="A416"/>
      <c r="C416"/>
    </row>
    <row r="417" spans="1:3" x14ac:dyDescent="0.3">
      <c r="A417"/>
      <c r="C417"/>
    </row>
    <row r="418" spans="1:3" x14ac:dyDescent="0.3">
      <c r="A418"/>
      <c r="C418"/>
    </row>
    <row r="419" spans="1:3" x14ac:dyDescent="0.3">
      <c r="A419"/>
      <c r="C419"/>
    </row>
    <row r="420" spans="1:3" x14ac:dyDescent="0.3">
      <c r="A420"/>
      <c r="C420"/>
    </row>
    <row r="421" spans="1:3" x14ac:dyDescent="0.3">
      <c r="A421"/>
      <c r="C421"/>
    </row>
    <row r="422" spans="1:3" x14ac:dyDescent="0.3">
      <c r="A422"/>
      <c r="C422"/>
    </row>
    <row r="423" spans="1:3" x14ac:dyDescent="0.3">
      <c r="A423"/>
      <c r="C423"/>
    </row>
    <row r="424" spans="1:3" x14ac:dyDescent="0.3">
      <c r="A424"/>
      <c r="C424"/>
    </row>
    <row r="425" spans="1:3" x14ac:dyDescent="0.3">
      <c r="A425"/>
      <c r="C425"/>
    </row>
    <row r="426" spans="1:3" x14ac:dyDescent="0.3">
      <c r="A426"/>
      <c r="C426"/>
    </row>
    <row r="427" spans="1:3" x14ac:dyDescent="0.3">
      <c r="A427"/>
      <c r="C427"/>
    </row>
    <row r="428" spans="1:3" x14ac:dyDescent="0.3">
      <c r="A428"/>
      <c r="C428"/>
    </row>
    <row r="429" spans="1:3" x14ac:dyDescent="0.3">
      <c r="A429"/>
      <c r="C429"/>
    </row>
    <row r="430" spans="1:3" x14ac:dyDescent="0.3">
      <c r="A430"/>
      <c r="C430"/>
    </row>
    <row r="431" spans="1:3" x14ac:dyDescent="0.3">
      <c r="A431"/>
      <c r="C431"/>
    </row>
    <row r="432" spans="1:3" x14ac:dyDescent="0.3">
      <c r="A432"/>
      <c r="C432"/>
    </row>
    <row r="433" spans="1:3" x14ac:dyDescent="0.3">
      <c r="A433"/>
      <c r="C433"/>
    </row>
    <row r="434" spans="1:3" x14ac:dyDescent="0.3">
      <c r="A434"/>
      <c r="C434"/>
    </row>
    <row r="435" spans="1:3" x14ac:dyDescent="0.3">
      <c r="A435"/>
      <c r="C435"/>
    </row>
    <row r="436" spans="1:3" x14ac:dyDescent="0.3">
      <c r="A436"/>
      <c r="C436"/>
    </row>
    <row r="437" spans="1:3" x14ac:dyDescent="0.3">
      <c r="A437"/>
      <c r="C437"/>
    </row>
    <row r="438" spans="1:3" x14ac:dyDescent="0.3">
      <c r="A438"/>
      <c r="C438"/>
    </row>
    <row r="439" spans="1:3" x14ac:dyDescent="0.3">
      <c r="A439"/>
      <c r="C439"/>
    </row>
    <row r="440" spans="1:3" x14ac:dyDescent="0.3">
      <c r="A440"/>
      <c r="C440"/>
    </row>
    <row r="441" spans="1:3" x14ac:dyDescent="0.3">
      <c r="A441"/>
      <c r="C441"/>
    </row>
    <row r="442" spans="1:3" x14ac:dyDescent="0.3">
      <c r="A442"/>
      <c r="C442"/>
    </row>
    <row r="443" spans="1:3" x14ac:dyDescent="0.3">
      <c r="A443"/>
      <c r="C443"/>
    </row>
    <row r="444" spans="1:3" x14ac:dyDescent="0.3">
      <c r="A444"/>
      <c r="C444"/>
    </row>
    <row r="445" spans="1:3" x14ac:dyDescent="0.3">
      <c r="A445"/>
      <c r="C445"/>
    </row>
    <row r="446" spans="1:3" x14ac:dyDescent="0.3">
      <c r="A446"/>
      <c r="C446"/>
    </row>
    <row r="447" spans="1:3" x14ac:dyDescent="0.3">
      <c r="A447"/>
      <c r="C447"/>
    </row>
    <row r="448" spans="1:3" x14ac:dyDescent="0.3">
      <c r="A448"/>
      <c r="C448"/>
    </row>
    <row r="449" spans="1:3" x14ac:dyDescent="0.3">
      <c r="A449"/>
      <c r="C449"/>
    </row>
    <row r="450" spans="1:3" x14ac:dyDescent="0.3">
      <c r="A450"/>
      <c r="C450"/>
    </row>
    <row r="451" spans="1:3" x14ac:dyDescent="0.3">
      <c r="A451"/>
      <c r="C451"/>
    </row>
    <row r="452" spans="1:3" x14ac:dyDescent="0.3">
      <c r="A452"/>
      <c r="C452"/>
    </row>
    <row r="453" spans="1:3" x14ac:dyDescent="0.3">
      <c r="A453"/>
      <c r="C453"/>
    </row>
    <row r="454" spans="1:3" x14ac:dyDescent="0.3">
      <c r="A454"/>
      <c r="C454"/>
    </row>
    <row r="455" spans="1:3" x14ac:dyDescent="0.3">
      <c r="A455"/>
      <c r="C455"/>
    </row>
    <row r="456" spans="1:3" x14ac:dyDescent="0.3">
      <c r="A456"/>
      <c r="C456"/>
    </row>
    <row r="457" spans="1:3" x14ac:dyDescent="0.3">
      <c r="A457"/>
      <c r="C457"/>
    </row>
    <row r="458" spans="1:3" x14ac:dyDescent="0.3">
      <c r="A458"/>
      <c r="C458"/>
    </row>
    <row r="459" spans="1:3" x14ac:dyDescent="0.3">
      <c r="A459"/>
      <c r="C459"/>
    </row>
    <row r="460" spans="1:3" x14ac:dyDescent="0.3">
      <c r="A460"/>
      <c r="C460"/>
    </row>
    <row r="461" spans="1:3" x14ac:dyDescent="0.3">
      <c r="A461"/>
      <c r="C461"/>
    </row>
    <row r="462" spans="1:3" x14ac:dyDescent="0.3">
      <c r="A462"/>
      <c r="C462"/>
    </row>
    <row r="463" spans="1:3" x14ac:dyDescent="0.3">
      <c r="A463"/>
      <c r="C463"/>
    </row>
    <row r="464" spans="1:3" x14ac:dyDescent="0.3">
      <c r="A464"/>
      <c r="C464"/>
    </row>
    <row r="465" spans="1:3" x14ac:dyDescent="0.3">
      <c r="A465"/>
      <c r="C465"/>
    </row>
    <row r="466" spans="1:3" x14ac:dyDescent="0.3">
      <c r="A466"/>
      <c r="C466"/>
    </row>
    <row r="467" spans="1:3" x14ac:dyDescent="0.3">
      <c r="A467"/>
      <c r="C467"/>
    </row>
    <row r="468" spans="1:3" x14ac:dyDescent="0.3">
      <c r="A468"/>
      <c r="C468"/>
    </row>
    <row r="469" spans="1:3" x14ac:dyDescent="0.3">
      <c r="A469"/>
      <c r="C469"/>
    </row>
    <row r="470" spans="1:3" x14ac:dyDescent="0.3">
      <c r="A470"/>
      <c r="C470"/>
    </row>
    <row r="471" spans="1:3" x14ac:dyDescent="0.3">
      <c r="A471"/>
      <c r="C471"/>
    </row>
    <row r="472" spans="1:3" x14ac:dyDescent="0.3">
      <c r="A472"/>
      <c r="C472"/>
    </row>
    <row r="473" spans="1:3" x14ac:dyDescent="0.3">
      <c r="A473"/>
      <c r="C473"/>
    </row>
    <row r="474" spans="1:3" x14ac:dyDescent="0.3">
      <c r="A474"/>
      <c r="C474"/>
    </row>
    <row r="475" spans="1:3" x14ac:dyDescent="0.3">
      <c r="A475"/>
      <c r="C475"/>
    </row>
    <row r="476" spans="1:3" x14ac:dyDescent="0.3">
      <c r="A476"/>
      <c r="C476"/>
    </row>
    <row r="477" spans="1:3" x14ac:dyDescent="0.3">
      <c r="A477"/>
      <c r="C477"/>
    </row>
    <row r="478" spans="1:3" x14ac:dyDescent="0.3">
      <c r="A478"/>
      <c r="C478"/>
    </row>
    <row r="479" spans="1:3" x14ac:dyDescent="0.3">
      <c r="A479"/>
      <c r="C479"/>
    </row>
    <row r="480" spans="1:3" x14ac:dyDescent="0.3">
      <c r="A480"/>
      <c r="C480"/>
    </row>
    <row r="481" spans="1:3" x14ac:dyDescent="0.3">
      <c r="A481"/>
      <c r="C481"/>
    </row>
    <row r="482" spans="1:3" x14ac:dyDescent="0.3">
      <c r="A482"/>
      <c r="C482"/>
    </row>
    <row r="483" spans="1:3" x14ac:dyDescent="0.3">
      <c r="A483"/>
      <c r="C483"/>
    </row>
    <row r="484" spans="1:3" x14ac:dyDescent="0.3">
      <c r="A484"/>
      <c r="C484"/>
    </row>
    <row r="485" spans="1:3" x14ac:dyDescent="0.3">
      <c r="A485"/>
      <c r="C485"/>
    </row>
    <row r="486" spans="1:3" x14ac:dyDescent="0.3">
      <c r="A486"/>
      <c r="C486"/>
    </row>
    <row r="487" spans="1:3" x14ac:dyDescent="0.3">
      <c r="A487"/>
      <c r="C487"/>
    </row>
    <row r="488" spans="1:3" x14ac:dyDescent="0.3">
      <c r="A488"/>
      <c r="C488"/>
    </row>
    <row r="489" spans="1:3" x14ac:dyDescent="0.3">
      <c r="A489"/>
      <c r="C489"/>
    </row>
    <row r="490" spans="1:3" x14ac:dyDescent="0.3">
      <c r="A490"/>
      <c r="C490"/>
    </row>
    <row r="491" spans="1:3" x14ac:dyDescent="0.3">
      <c r="A491"/>
      <c r="C491"/>
    </row>
    <row r="492" spans="1:3" x14ac:dyDescent="0.3">
      <c r="A492"/>
      <c r="C492"/>
    </row>
    <row r="493" spans="1:3" x14ac:dyDescent="0.3">
      <c r="A493"/>
      <c r="C493"/>
    </row>
    <row r="494" spans="1:3" x14ac:dyDescent="0.3">
      <c r="A494"/>
      <c r="C494"/>
    </row>
    <row r="495" spans="1:3" x14ac:dyDescent="0.3">
      <c r="A495"/>
      <c r="C495"/>
    </row>
    <row r="496" spans="1:3" x14ac:dyDescent="0.3">
      <c r="A496"/>
      <c r="C496"/>
    </row>
    <row r="497" spans="1:3" x14ac:dyDescent="0.3">
      <c r="A497"/>
      <c r="C497"/>
    </row>
    <row r="498" spans="1:3" x14ac:dyDescent="0.3">
      <c r="A498"/>
      <c r="C498"/>
    </row>
    <row r="499" spans="1:3" x14ac:dyDescent="0.3">
      <c r="A499"/>
      <c r="C499"/>
    </row>
    <row r="500" spans="1:3" x14ac:dyDescent="0.3">
      <c r="A500"/>
      <c r="C500"/>
    </row>
    <row r="501" spans="1:3" x14ac:dyDescent="0.3">
      <c r="A501"/>
      <c r="C501"/>
    </row>
    <row r="502" spans="1:3" x14ac:dyDescent="0.3">
      <c r="A502"/>
      <c r="C502"/>
    </row>
    <row r="503" spans="1:3" x14ac:dyDescent="0.3">
      <c r="A503"/>
      <c r="C503"/>
    </row>
    <row r="504" spans="1:3" x14ac:dyDescent="0.3">
      <c r="A504"/>
      <c r="C504"/>
    </row>
    <row r="505" spans="1:3" x14ac:dyDescent="0.3">
      <c r="A505"/>
      <c r="C505"/>
    </row>
    <row r="506" spans="1:3" x14ac:dyDescent="0.3">
      <c r="A506"/>
      <c r="C506"/>
    </row>
    <row r="507" spans="1:3" x14ac:dyDescent="0.3">
      <c r="A507"/>
      <c r="C507"/>
    </row>
    <row r="508" spans="1:3" x14ac:dyDescent="0.3">
      <c r="A508"/>
      <c r="C508"/>
    </row>
    <row r="509" spans="1:3" x14ac:dyDescent="0.3">
      <c r="A509"/>
      <c r="C509"/>
    </row>
    <row r="510" spans="1:3" x14ac:dyDescent="0.3">
      <c r="A510"/>
      <c r="C510"/>
    </row>
    <row r="511" spans="1:3" x14ac:dyDescent="0.3">
      <c r="A511"/>
      <c r="C511"/>
    </row>
    <row r="512" spans="1:3" x14ac:dyDescent="0.3">
      <c r="A512"/>
      <c r="C512"/>
    </row>
    <row r="513" spans="1:3" x14ac:dyDescent="0.3">
      <c r="A513"/>
      <c r="C513"/>
    </row>
    <row r="514" spans="1:3" x14ac:dyDescent="0.3">
      <c r="A514"/>
      <c r="C514"/>
    </row>
    <row r="515" spans="1:3" x14ac:dyDescent="0.3">
      <c r="A515"/>
      <c r="C515"/>
    </row>
    <row r="516" spans="1:3" x14ac:dyDescent="0.3">
      <c r="A516"/>
      <c r="C516"/>
    </row>
    <row r="517" spans="1:3" x14ac:dyDescent="0.3">
      <c r="A517"/>
      <c r="C517"/>
    </row>
    <row r="518" spans="1:3" x14ac:dyDescent="0.3">
      <c r="A518"/>
      <c r="C518"/>
    </row>
    <row r="519" spans="1:3" x14ac:dyDescent="0.3">
      <c r="A519"/>
      <c r="C519"/>
    </row>
    <row r="520" spans="1:3" x14ac:dyDescent="0.3">
      <c r="A520"/>
      <c r="C520"/>
    </row>
    <row r="521" spans="1:3" x14ac:dyDescent="0.3">
      <c r="A521"/>
      <c r="C521"/>
    </row>
    <row r="522" spans="1:3" x14ac:dyDescent="0.3">
      <c r="A522"/>
      <c r="C522"/>
    </row>
    <row r="523" spans="1:3" x14ac:dyDescent="0.3">
      <c r="A523"/>
      <c r="C523"/>
    </row>
    <row r="524" spans="1:3" x14ac:dyDescent="0.3">
      <c r="A524"/>
      <c r="C524"/>
    </row>
    <row r="525" spans="1:3" x14ac:dyDescent="0.3">
      <c r="A525"/>
      <c r="C525"/>
    </row>
    <row r="526" spans="1:3" x14ac:dyDescent="0.3">
      <c r="A526"/>
      <c r="C526"/>
    </row>
    <row r="527" spans="1:3" x14ac:dyDescent="0.3">
      <c r="A527"/>
      <c r="C527"/>
    </row>
    <row r="528" spans="1:3" x14ac:dyDescent="0.3">
      <c r="A528"/>
      <c r="C528"/>
    </row>
    <row r="529" spans="1:3" x14ac:dyDescent="0.3">
      <c r="A529"/>
      <c r="C529"/>
    </row>
    <row r="530" spans="1:3" x14ac:dyDescent="0.3">
      <c r="A530"/>
      <c r="C530"/>
    </row>
    <row r="531" spans="1:3" x14ac:dyDescent="0.3">
      <c r="A531"/>
      <c r="C531"/>
    </row>
    <row r="532" spans="1:3" x14ac:dyDescent="0.3">
      <c r="A532"/>
      <c r="C532"/>
    </row>
    <row r="533" spans="1:3" x14ac:dyDescent="0.3">
      <c r="A533"/>
      <c r="C533"/>
    </row>
    <row r="534" spans="1:3" x14ac:dyDescent="0.3">
      <c r="A534"/>
      <c r="C534"/>
    </row>
    <row r="535" spans="1:3" x14ac:dyDescent="0.3">
      <c r="A535"/>
      <c r="C535"/>
    </row>
    <row r="536" spans="1:3" x14ac:dyDescent="0.3">
      <c r="A536"/>
      <c r="C536"/>
    </row>
    <row r="537" spans="1:3" x14ac:dyDescent="0.3">
      <c r="A537"/>
      <c r="C537"/>
    </row>
    <row r="538" spans="1:3" x14ac:dyDescent="0.3">
      <c r="A538"/>
      <c r="C538"/>
    </row>
    <row r="539" spans="1:3" x14ac:dyDescent="0.3">
      <c r="A539"/>
      <c r="C539"/>
    </row>
    <row r="540" spans="1:3" x14ac:dyDescent="0.3">
      <c r="A540"/>
      <c r="C540"/>
    </row>
    <row r="541" spans="1:3" x14ac:dyDescent="0.3">
      <c r="A541"/>
      <c r="C541"/>
    </row>
    <row r="542" spans="1:3" x14ac:dyDescent="0.3">
      <c r="A542"/>
      <c r="C542"/>
    </row>
    <row r="543" spans="1:3" x14ac:dyDescent="0.3">
      <c r="A543"/>
      <c r="C543"/>
    </row>
    <row r="544" spans="1:3" x14ac:dyDescent="0.3">
      <c r="A544"/>
      <c r="C544"/>
    </row>
    <row r="545" spans="1:3" x14ac:dyDescent="0.3">
      <c r="A545"/>
      <c r="C545"/>
    </row>
    <row r="546" spans="1:3" x14ac:dyDescent="0.3">
      <c r="A546"/>
      <c r="C546"/>
    </row>
    <row r="547" spans="1:3" x14ac:dyDescent="0.3">
      <c r="A547"/>
      <c r="C547"/>
    </row>
    <row r="548" spans="1:3" x14ac:dyDescent="0.3">
      <c r="A548"/>
      <c r="C548"/>
    </row>
    <row r="549" spans="1:3" x14ac:dyDescent="0.3">
      <c r="A549"/>
      <c r="C549"/>
    </row>
    <row r="550" spans="1:3" x14ac:dyDescent="0.3">
      <c r="A550"/>
      <c r="C550"/>
    </row>
    <row r="551" spans="1:3" x14ac:dyDescent="0.3">
      <c r="A551"/>
      <c r="C551"/>
    </row>
    <row r="552" spans="1:3" x14ac:dyDescent="0.3">
      <c r="A552"/>
      <c r="C552"/>
    </row>
    <row r="553" spans="1:3" x14ac:dyDescent="0.3">
      <c r="A553"/>
      <c r="C553"/>
    </row>
    <row r="554" spans="1:3" x14ac:dyDescent="0.3">
      <c r="A554"/>
      <c r="C554"/>
    </row>
    <row r="555" spans="1:3" x14ac:dyDescent="0.3">
      <c r="A555"/>
      <c r="C555"/>
    </row>
    <row r="556" spans="1:3" x14ac:dyDescent="0.3">
      <c r="A556"/>
      <c r="C556"/>
    </row>
    <row r="557" spans="1:3" x14ac:dyDescent="0.3">
      <c r="A557"/>
      <c r="C557"/>
    </row>
    <row r="558" spans="1:3" x14ac:dyDescent="0.3">
      <c r="A558"/>
      <c r="C558"/>
    </row>
    <row r="559" spans="1:3" x14ac:dyDescent="0.3">
      <c r="A559"/>
      <c r="C559"/>
    </row>
    <row r="560" spans="1:3" x14ac:dyDescent="0.3">
      <c r="A560"/>
      <c r="C560"/>
    </row>
    <row r="561" spans="1:3" x14ac:dyDescent="0.3">
      <c r="A561"/>
      <c r="C561"/>
    </row>
    <row r="562" spans="1:3" x14ac:dyDescent="0.3">
      <c r="A562"/>
      <c r="C562"/>
    </row>
    <row r="563" spans="1:3" x14ac:dyDescent="0.3">
      <c r="A563"/>
      <c r="C563"/>
    </row>
    <row r="564" spans="1:3" x14ac:dyDescent="0.3">
      <c r="A564"/>
      <c r="C564"/>
    </row>
    <row r="565" spans="1:3" x14ac:dyDescent="0.3">
      <c r="A565"/>
      <c r="C565"/>
    </row>
    <row r="566" spans="1:3" x14ac:dyDescent="0.3">
      <c r="A566"/>
      <c r="C566"/>
    </row>
    <row r="567" spans="1:3" x14ac:dyDescent="0.3">
      <c r="A567"/>
      <c r="C567"/>
    </row>
    <row r="568" spans="1:3" x14ac:dyDescent="0.3">
      <c r="A568"/>
      <c r="C568"/>
    </row>
    <row r="569" spans="1:3" x14ac:dyDescent="0.3">
      <c r="A569"/>
      <c r="C569"/>
    </row>
    <row r="570" spans="1:3" x14ac:dyDescent="0.3">
      <c r="A570"/>
      <c r="C570"/>
    </row>
    <row r="571" spans="1:3" x14ac:dyDescent="0.3">
      <c r="A571"/>
      <c r="C571"/>
    </row>
    <row r="572" spans="1:3" x14ac:dyDescent="0.3">
      <c r="A572"/>
      <c r="C572"/>
    </row>
    <row r="573" spans="1:3" x14ac:dyDescent="0.3">
      <c r="A573"/>
      <c r="C573"/>
    </row>
    <row r="574" spans="1:3" x14ac:dyDescent="0.3">
      <c r="A574"/>
      <c r="C574"/>
    </row>
    <row r="575" spans="1:3" x14ac:dyDescent="0.3">
      <c r="A575"/>
      <c r="C575"/>
    </row>
    <row r="576" spans="1:3" x14ac:dyDescent="0.3">
      <c r="A576"/>
      <c r="C576"/>
    </row>
    <row r="577" spans="1:3" x14ac:dyDescent="0.3">
      <c r="A577"/>
      <c r="C577"/>
    </row>
    <row r="578" spans="1:3" x14ac:dyDescent="0.3">
      <c r="A578"/>
      <c r="C578"/>
    </row>
    <row r="579" spans="1:3" x14ac:dyDescent="0.3">
      <c r="A579"/>
      <c r="C579"/>
    </row>
    <row r="580" spans="1:3" x14ac:dyDescent="0.3">
      <c r="A580"/>
      <c r="C580"/>
    </row>
    <row r="581" spans="1:3" x14ac:dyDescent="0.3">
      <c r="A581"/>
      <c r="C581"/>
    </row>
    <row r="582" spans="1:3" x14ac:dyDescent="0.3">
      <c r="A582"/>
      <c r="C582"/>
    </row>
    <row r="583" spans="1:3" x14ac:dyDescent="0.3">
      <c r="A583"/>
      <c r="C583"/>
    </row>
    <row r="584" spans="1:3" x14ac:dyDescent="0.3">
      <c r="A584"/>
      <c r="C584"/>
    </row>
    <row r="585" spans="1:3" x14ac:dyDescent="0.3">
      <c r="A585"/>
      <c r="C585"/>
    </row>
    <row r="586" spans="1:3" x14ac:dyDescent="0.3">
      <c r="A586"/>
      <c r="C586"/>
    </row>
    <row r="587" spans="1:3" x14ac:dyDescent="0.3">
      <c r="A587"/>
      <c r="C587"/>
    </row>
    <row r="588" spans="1:3" x14ac:dyDescent="0.3">
      <c r="A588"/>
      <c r="C588"/>
    </row>
    <row r="589" spans="1:3" x14ac:dyDescent="0.3">
      <c r="A589"/>
      <c r="C589"/>
    </row>
    <row r="590" spans="1:3" x14ac:dyDescent="0.3">
      <c r="A590"/>
      <c r="C590"/>
    </row>
    <row r="591" spans="1:3" x14ac:dyDescent="0.3">
      <c r="A591"/>
      <c r="C591"/>
    </row>
    <row r="592" spans="1:3" x14ac:dyDescent="0.3">
      <c r="A592"/>
      <c r="C592"/>
    </row>
    <row r="593" spans="1:3" x14ac:dyDescent="0.3">
      <c r="A593"/>
      <c r="C593"/>
    </row>
    <row r="594" spans="1:3" x14ac:dyDescent="0.3">
      <c r="A594"/>
      <c r="C594"/>
    </row>
    <row r="595" spans="1:3" x14ac:dyDescent="0.3">
      <c r="A595"/>
      <c r="C595"/>
    </row>
    <row r="596" spans="1:3" x14ac:dyDescent="0.3">
      <c r="A596"/>
      <c r="C596"/>
    </row>
    <row r="597" spans="1:3" x14ac:dyDescent="0.3">
      <c r="A597"/>
      <c r="C597"/>
    </row>
    <row r="598" spans="1:3" x14ac:dyDescent="0.3">
      <c r="A598"/>
      <c r="C598"/>
    </row>
    <row r="599" spans="1:3" x14ac:dyDescent="0.3">
      <c r="A599"/>
      <c r="C599"/>
    </row>
    <row r="600" spans="1:3" x14ac:dyDescent="0.3">
      <c r="A600"/>
      <c r="C600"/>
    </row>
    <row r="601" spans="1:3" x14ac:dyDescent="0.3">
      <c r="A601"/>
      <c r="C601"/>
    </row>
    <row r="602" spans="1:3" x14ac:dyDescent="0.3">
      <c r="A602"/>
      <c r="C602"/>
    </row>
    <row r="603" spans="1:3" x14ac:dyDescent="0.3">
      <c r="A603"/>
      <c r="C603"/>
    </row>
    <row r="604" spans="1:3" x14ac:dyDescent="0.3">
      <c r="A604"/>
      <c r="C604"/>
    </row>
    <row r="605" spans="1:3" x14ac:dyDescent="0.3">
      <c r="A605"/>
      <c r="C605"/>
    </row>
    <row r="606" spans="1:3" x14ac:dyDescent="0.3">
      <c r="A606"/>
      <c r="C606"/>
    </row>
    <row r="607" spans="1:3" x14ac:dyDescent="0.3">
      <c r="A607"/>
      <c r="C607"/>
    </row>
    <row r="608" spans="1:3" x14ac:dyDescent="0.3">
      <c r="A608"/>
      <c r="C608"/>
    </row>
    <row r="609" spans="1:3" x14ac:dyDescent="0.3">
      <c r="A609"/>
      <c r="C609"/>
    </row>
    <row r="610" spans="1:3" x14ac:dyDescent="0.3">
      <c r="A610"/>
      <c r="C610"/>
    </row>
    <row r="611" spans="1:3" x14ac:dyDescent="0.3">
      <c r="A611"/>
      <c r="C611"/>
    </row>
    <row r="612" spans="1:3" x14ac:dyDescent="0.3">
      <c r="A612"/>
      <c r="C612"/>
    </row>
    <row r="613" spans="1:3" x14ac:dyDescent="0.3">
      <c r="A613"/>
      <c r="C613"/>
    </row>
    <row r="614" spans="1:3" x14ac:dyDescent="0.3">
      <c r="A614"/>
      <c r="C614"/>
    </row>
    <row r="615" spans="1:3" x14ac:dyDescent="0.3">
      <c r="A615"/>
      <c r="C615"/>
    </row>
    <row r="616" spans="1:3" x14ac:dyDescent="0.3">
      <c r="A616"/>
      <c r="C616"/>
    </row>
    <row r="617" spans="1:3" x14ac:dyDescent="0.3">
      <c r="A617"/>
      <c r="C617"/>
    </row>
    <row r="618" spans="1:3" x14ac:dyDescent="0.3">
      <c r="A618"/>
      <c r="C618"/>
    </row>
    <row r="619" spans="1:3" x14ac:dyDescent="0.3">
      <c r="A619"/>
      <c r="C619"/>
    </row>
    <row r="620" spans="1:3" x14ac:dyDescent="0.3">
      <c r="A620"/>
      <c r="C620"/>
    </row>
    <row r="621" spans="1:3" x14ac:dyDescent="0.3">
      <c r="A621"/>
      <c r="C621"/>
    </row>
    <row r="622" spans="1:3" x14ac:dyDescent="0.3">
      <c r="A622"/>
      <c r="C622"/>
    </row>
    <row r="623" spans="1:3" x14ac:dyDescent="0.3">
      <c r="A623"/>
      <c r="C623"/>
    </row>
    <row r="624" spans="1:3" x14ac:dyDescent="0.3">
      <c r="A624"/>
      <c r="C624"/>
    </row>
    <row r="625" spans="1:3" x14ac:dyDescent="0.3">
      <c r="A625"/>
      <c r="C625"/>
    </row>
    <row r="626" spans="1:3" x14ac:dyDescent="0.3">
      <c r="A626"/>
      <c r="C626"/>
    </row>
    <row r="627" spans="1:3" x14ac:dyDescent="0.3">
      <c r="A627"/>
      <c r="C627"/>
    </row>
    <row r="628" spans="1:3" x14ac:dyDescent="0.3">
      <c r="A628"/>
      <c r="C628"/>
    </row>
    <row r="629" spans="1:3" x14ac:dyDescent="0.3">
      <c r="A629"/>
      <c r="C629"/>
    </row>
    <row r="630" spans="1:3" x14ac:dyDescent="0.3">
      <c r="A630"/>
      <c r="C630"/>
    </row>
    <row r="631" spans="1:3" x14ac:dyDescent="0.3">
      <c r="A631"/>
      <c r="C631"/>
    </row>
    <row r="632" spans="1:3" x14ac:dyDescent="0.3">
      <c r="A632"/>
      <c r="C632"/>
    </row>
    <row r="633" spans="1:3" x14ac:dyDescent="0.3">
      <c r="A633"/>
      <c r="C633"/>
    </row>
    <row r="634" spans="1:3" x14ac:dyDescent="0.3">
      <c r="A634"/>
      <c r="C634"/>
    </row>
    <row r="635" spans="1:3" x14ac:dyDescent="0.3">
      <c r="A635"/>
      <c r="C635"/>
    </row>
    <row r="636" spans="1:3" x14ac:dyDescent="0.3">
      <c r="A636"/>
      <c r="C636"/>
    </row>
    <row r="637" spans="1:3" x14ac:dyDescent="0.3">
      <c r="A637"/>
      <c r="C637"/>
    </row>
    <row r="638" spans="1:3" x14ac:dyDescent="0.3">
      <c r="A638"/>
      <c r="C638"/>
    </row>
    <row r="639" spans="1:3" x14ac:dyDescent="0.3">
      <c r="A639"/>
      <c r="C639"/>
    </row>
    <row r="640" spans="1:3" x14ac:dyDescent="0.3">
      <c r="A640"/>
      <c r="C640"/>
    </row>
    <row r="641" spans="1:3" x14ac:dyDescent="0.3">
      <c r="A641"/>
      <c r="C641"/>
    </row>
    <row r="642" spans="1:3" x14ac:dyDescent="0.3">
      <c r="A642"/>
      <c r="C642"/>
    </row>
    <row r="643" spans="1:3" x14ac:dyDescent="0.3">
      <c r="A643"/>
      <c r="C643"/>
    </row>
    <row r="644" spans="1:3" x14ac:dyDescent="0.3">
      <c r="A644"/>
      <c r="C644"/>
    </row>
    <row r="645" spans="1:3" x14ac:dyDescent="0.3">
      <c r="A645"/>
      <c r="C645"/>
    </row>
    <row r="646" spans="1:3" x14ac:dyDescent="0.3">
      <c r="A646"/>
      <c r="C646"/>
    </row>
    <row r="647" spans="1:3" x14ac:dyDescent="0.3">
      <c r="A647"/>
      <c r="C647"/>
    </row>
    <row r="648" spans="1:3" x14ac:dyDescent="0.3">
      <c r="A648"/>
      <c r="C648"/>
    </row>
    <row r="649" spans="1:3" x14ac:dyDescent="0.3">
      <c r="A649"/>
      <c r="C649"/>
    </row>
    <row r="650" spans="1:3" x14ac:dyDescent="0.3">
      <c r="A650"/>
      <c r="C650"/>
    </row>
    <row r="651" spans="1:3" x14ac:dyDescent="0.3">
      <c r="A651"/>
      <c r="C651"/>
    </row>
    <row r="652" spans="1:3" x14ac:dyDescent="0.3">
      <c r="A652"/>
      <c r="C652"/>
    </row>
    <row r="653" spans="1:3" x14ac:dyDescent="0.3">
      <c r="A653"/>
      <c r="C653"/>
    </row>
    <row r="654" spans="1:3" x14ac:dyDescent="0.3">
      <c r="A654"/>
      <c r="C654"/>
    </row>
    <row r="655" spans="1:3" x14ac:dyDescent="0.3">
      <c r="A655"/>
      <c r="C655"/>
    </row>
    <row r="656" spans="1:3" x14ac:dyDescent="0.3">
      <c r="A656"/>
      <c r="C656"/>
    </row>
    <row r="657" spans="1:3" x14ac:dyDescent="0.3">
      <c r="A657"/>
      <c r="C657"/>
    </row>
    <row r="658" spans="1:3" x14ac:dyDescent="0.3">
      <c r="A658"/>
      <c r="C658"/>
    </row>
    <row r="659" spans="1:3" x14ac:dyDescent="0.3">
      <c r="A659"/>
      <c r="C659"/>
    </row>
    <row r="660" spans="1:3" x14ac:dyDescent="0.3">
      <c r="A660"/>
      <c r="C660"/>
    </row>
    <row r="661" spans="1:3" x14ac:dyDescent="0.3">
      <c r="A661"/>
      <c r="C661"/>
    </row>
    <row r="662" spans="1:3" x14ac:dyDescent="0.3">
      <c r="A662"/>
      <c r="C662"/>
    </row>
    <row r="663" spans="1:3" x14ac:dyDescent="0.3">
      <c r="A663"/>
      <c r="C663"/>
    </row>
    <row r="664" spans="1:3" x14ac:dyDescent="0.3">
      <c r="A664"/>
      <c r="C664"/>
    </row>
    <row r="665" spans="1:3" x14ac:dyDescent="0.3">
      <c r="A665"/>
      <c r="C665"/>
    </row>
    <row r="666" spans="1:3" x14ac:dyDescent="0.3">
      <c r="A666"/>
      <c r="C666"/>
    </row>
    <row r="667" spans="1:3" x14ac:dyDescent="0.3">
      <c r="A667"/>
      <c r="C667"/>
    </row>
    <row r="668" spans="1:3" x14ac:dyDescent="0.3">
      <c r="A668"/>
      <c r="C668"/>
    </row>
    <row r="669" spans="1:3" x14ac:dyDescent="0.3">
      <c r="A669"/>
      <c r="C669"/>
    </row>
    <row r="670" spans="1:3" x14ac:dyDescent="0.3">
      <c r="A670"/>
      <c r="C670"/>
    </row>
    <row r="671" spans="1:3" x14ac:dyDescent="0.3">
      <c r="A671"/>
      <c r="C671"/>
    </row>
    <row r="672" spans="1:3" x14ac:dyDescent="0.3">
      <c r="A672"/>
      <c r="C672"/>
    </row>
    <row r="673" spans="1:3" x14ac:dyDescent="0.3">
      <c r="A673"/>
      <c r="C673"/>
    </row>
    <row r="674" spans="1:3" x14ac:dyDescent="0.3">
      <c r="A674"/>
      <c r="C674"/>
    </row>
    <row r="675" spans="1:3" x14ac:dyDescent="0.3">
      <c r="A675"/>
      <c r="C675"/>
    </row>
    <row r="676" spans="1:3" x14ac:dyDescent="0.3">
      <c r="A676"/>
      <c r="C676"/>
    </row>
    <row r="677" spans="1:3" x14ac:dyDescent="0.3">
      <c r="A677"/>
      <c r="C677"/>
    </row>
    <row r="678" spans="1:3" x14ac:dyDescent="0.3">
      <c r="A678"/>
      <c r="C678"/>
    </row>
    <row r="679" spans="1:3" x14ac:dyDescent="0.3">
      <c r="A679"/>
      <c r="C679"/>
    </row>
    <row r="680" spans="1:3" x14ac:dyDescent="0.3">
      <c r="A680"/>
      <c r="C680"/>
    </row>
    <row r="681" spans="1:3" x14ac:dyDescent="0.3">
      <c r="A681"/>
      <c r="C681"/>
    </row>
    <row r="682" spans="1:3" x14ac:dyDescent="0.3">
      <c r="A682"/>
      <c r="C682"/>
    </row>
    <row r="683" spans="1:3" x14ac:dyDescent="0.3">
      <c r="A683"/>
      <c r="C683"/>
    </row>
    <row r="684" spans="1:3" x14ac:dyDescent="0.3">
      <c r="A684"/>
      <c r="C684"/>
    </row>
    <row r="685" spans="1:3" x14ac:dyDescent="0.3">
      <c r="A685"/>
      <c r="C685"/>
    </row>
    <row r="686" spans="1:3" x14ac:dyDescent="0.3">
      <c r="A686"/>
      <c r="C686"/>
    </row>
    <row r="687" spans="1:3" x14ac:dyDescent="0.3">
      <c r="A687"/>
      <c r="C687"/>
    </row>
    <row r="688" spans="1:3" x14ac:dyDescent="0.3">
      <c r="A688"/>
      <c r="C688"/>
    </row>
    <row r="689" spans="1:3" x14ac:dyDescent="0.3">
      <c r="A689"/>
      <c r="C689"/>
    </row>
    <row r="690" spans="1:3" x14ac:dyDescent="0.3">
      <c r="A690"/>
      <c r="C690"/>
    </row>
    <row r="691" spans="1:3" x14ac:dyDescent="0.3">
      <c r="A691"/>
      <c r="C691"/>
    </row>
    <row r="692" spans="1:3" x14ac:dyDescent="0.3">
      <c r="A692"/>
      <c r="C692"/>
    </row>
    <row r="693" spans="1:3" x14ac:dyDescent="0.3">
      <c r="A693"/>
      <c r="C693"/>
    </row>
    <row r="694" spans="1:3" x14ac:dyDescent="0.3">
      <c r="A694"/>
      <c r="C694"/>
    </row>
    <row r="695" spans="1:3" x14ac:dyDescent="0.3">
      <c r="A695"/>
      <c r="C695"/>
    </row>
    <row r="696" spans="1:3" x14ac:dyDescent="0.3">
      <c r="A696"/>
      <c r="C696"/>
    </row>
    <row r="697" spans="1:3" x14ac:dyDescent="0.3">
      <c r="A697"/>
      <c r="C697"/>
    </row>
    <row r="698" spans="1:3" x14ac:dyDescent="0.3">
      <c r="A698"/>
      <c r="C698"/>
    </row>
    <row r="699" spans="1:3" x14ac:dyDescent="0.3">
      <c r="A699"/>
      <c r="C699"/>
    </row>
    <row r="700" spans="1:3" x14ac:dyDescent="0.3">
      <c r="A700"/>
      <c r="C700"/>
    </row>
    <row r="701" spans="1:3" x14ac:dyDescent="0.3">
      <c r="A701"/>
      <c r="C701"/>
    </row>
    <row r="702" spans="1:3" x14ac:dyDescent="0.3">
      <c r="A702"/>
      <c r="C702"/>
    </row>
    <row r="703" spans="1:3" x14ac:dyDescent="0.3">
      <c r="A703"/>
      <c r="C703"/>
    </row>
    <row r="704" spans="1:3" x14ac:dyDescent="0.3">
      <c r="A704"/>
      <c r="C704"/>
    </row>
    <row r="705" spans="1:3" x14ac:dyDescent="0.3">
      <c r="A705"/>
      <c r="C705"/>
    </row>
    <row r="706" spans="1:3" x14ac:dyDescent="0.3">
      <c r="A706"/>
      <c r="C706"/>
    </row>
    <row r="707" spans="1:3" x14ac:dyDescent="0.3">
      <c r="A707"/>
      <c r="C707"/>
    </row>
    <row r="708" spans="1:3" x14ac:dyDescent="0.3">
      <c r="A708"/>
      <c r="C708"/>
    </row>
    <row r="709" spans="1:3" x14ac:dyDescent="0.3">
      <c r="A709"/>
      <c r="C709"/>
    </row>
    <row r="710" spans="1:3" x14ac:dyDescent="0.3">
      <c r="A710"/>
      <c r="C710"/>
    </row>
    <row r="711" spans="1:3" x14ac:dyDescent="0.3">
      <c r="A711"/>
      <c r="C711"/>
    </row>
    <row r="712" spans="1:3" x14ac:dyDescent="0.3">
      <c r="A712"/>
      <c r="C712"/>
    </row>
    <row r="713" spans="1:3" x14ac:dyDescent="0.3">
      <c r="A713"/>
      <c r="C713"/>
    </row>
    <row r="714" spans="1:3" x14ac:dyDescent="0.3">
      <c r="A714"/>
      <c r="C714"/>
    </row>
    <row r="715" spans="1:3" x14ac:dyDescent="0.3">
      <c r="A715"/>
      <c r="C715"/>
    </row>
    <row r="716" spans="1:3" x14ac:dyDescent="0.3">
      <c r="A716"/>
      <c r="C716"/>
    </row>
    <row r="717" spans="1:3" x14ac:dyDescent="0.3">
      <c r="A717"/>
      <c r="C717"/>
    </row>
    <row r="718" spans="1:3" x14ac:dyDescent="0.3">
      <c r="A718"/>
      <c r="C718"/>
    </row>
    <row r="719" spans="1:3" x14ac:dyDescent="0.3">
      <c r="A719"/>
      <c r="C719"/>
    </row>
    <row r="720" spans="1:3" x14ac:dyDescent="0.3">
      <c r="A720"/>
      <c r="C720"/>
    </row>
    <row r="721" spans="1:3" x14ac:dyDescent="0.3">
      <c r="A721"/>
      <c r="C721"/>
    </row>
    <row r="722" spans="1:3" x14ac:dyDescent="0.3">
      <c r="A722"/>
      <c r="C722"/>
    </row>
    <row r="723" spans="1:3" x14ac:dyDescent="0.3">
      <c r="A723"/>
      <c r="C723"/>
    </row>
    <row r="724" spans="1:3" x14ac:dyDescent="0.3">
      <c r="A724"/>
      <c r="C724"/>
    </row>
    <row r="725" spans="1:3" x14ac:dyDescent="0.3">
      <c r="A725"/>
      <c r="C725"/>
    </row>
    <row r="726" spans="1:3" x14ac:dyDescent="0.3">
      <c r="A726"/>
      <c r="C726"/>
    </row>
    <row r="727" spans="1:3" x14ac:dyDescent="0.3">
      <c r="A727"/>
      <c r="C727"/>
    </row>
    <row r="728" spans="1:3" x14ac:dyDescent="0.3">
      <c r="A728"/>
      <c r="C728"/>
    </row>
    <row r="729" spans="1:3" x14ac:dyDescent="0.3">
      <c r="A729"/>
      <c r="C729"/>
    </row>
    <row r="730" spans="1:3" x14ac:dyDescent="0.3">
      <c r="A730"/>
      <c r="C730"/>
    </row>
    <row r="731" spans="1:3" x14ac:dyDescent="0.3">
      <c r="A731"/>
      <c r="C731"/>
    </row>
    <row r="732" spans="1:3" x14ac:dyDescent="0.3">
      <c r="A732"/>
      <c r="C732"/>
    </row>
    <row r="733" spans="1:3" x14ac:dyDescent="0.3">
      <c r="A733"/>
      <c r="C733"/>
    </row>
    <row r="734" spans="1:3" x14ac:dyDescent="0.3">
      <c r="A734"/>
      <c r="C734"/>
    </row>
    <row r="735" spans="1:3" x14ac:dyDescent="0.3">
      <c r="A735"/>
      <c r="C735"/>
    </row>
    <row r="736" spans="1:3" x14ac:dyDescent="0.3">
      <c r="A736"/>
      <c r="C736"/>
    </row>
    <row r="737" spans="1:3" x14ac:dyDescent="0.3">
      <c r="A737"/>
      <c r="C737"/>
    </row>
    <row r="738" spans="1:3" x14ac:dyDescent="0.3">
      <c r="A738"/>
      <c r="C738"/>
    </row>
    <row r="739" spans="1:3" x14ac:dyDescent="0.3">
      <c r="A739"/>
      <c r="C739"/>
    </row>
    <row r="740" spans="1:3" x14ac:dyDescent="0.3">
      <c r="A740"/>
      <c r="C740"/>
    </row>
    <row r="741" spans="1:3" x14ac:dyDescent="0.3">
      <c r="A741"/>
      <c r="C741"/>
    </row>
    <row r="742" spans="1:3" x14ac:dyDescent="0.3">
      <c r="A742"/>
      <c r="C742"/>
    </row>
    <row r="743" spans="1:3" x14ac:dyDescent="0.3">
      <c r="A743"/>
      <c r="C743"/>
    </row>
    <row r="744" spans="1:3" x14ac:dyDescent="0.3">
      <c r="A744"/>
      <c r="C744"/>
    </row>
    <row r="745" spans="1:3" x14ac:dyDescent="0.3">
      <c r="A745"/>
      <c r="C745"/>
    </row>
    <row r="746" spans="1:3" x14ac:dyDescent="0.3">
      <c r="A746"/>
      <c r="C746"/>
    </row>
    <row r="747" spans="1:3" x14ac:dyDescent="0.3">
      <c r="A747"/>
      <c r="C747"/>
    </row>
    <row r="748" spans="1:3" x14ac:dyDescent="0.3">
      <c r="A748"/>
      <c r="C748"/>
    </row>
    <row r="749" spans="1:3" x14ac:dyDescent="0.3">
      <c r="A749"/>
      <c r="C749"/>
    </row>
    <row r="750" spans="1:3" x14ac:dyDescent="0.3">
      <c r="A750"/>
      <c r="C750"/>
    </row>
    <row r="751" spans="1:3" x14ac:dyDescent="0.3">
      <c r="A751"/>
      <c r="C751"/>
    </row>
    <row r="752" spans="1:3" x14ac:dyDescent="0.3">
      <c r="A752"/>
      <c r="C752"/>
    </row>
    <row r="753" spans="1:3" x14ac:dyDescent="0.3">
      <c r="A753"/>
      <c r="C753"/>
    </row>
    <row r="754" spans="1:3" x14ac:dyDescent="0.3">
      <c r="A754"/>
      <c r="C754"/>
    </row>
    <row r="755" spans="1:3" x14ac:dyDescent="0.3">
      <c r="A755"/>
      <c r="C755"/>
    </row>
    <row r="756" spans="1:3" x14ac:dyDescent="0.3">
      <c r="A756"/>
      <c r="C756"/>
    </row>
    <row r="757" spans="1:3" x14ac:dyDescent="0.3">
      <c r="A757"/>
      <c r="C757"/>
    </row>
    <row r="758" spans="1:3" x14ac:dyDescent="0.3">
      <c r="A758"/>
      <c r="C758"/>
    </row>
    <row r="759" spans="1:3" x14ac:dyDescent="0.3">
      <c r="A759"/>
      <c r="C759"/>
    </row>
    <row r="760" spans="1:3" x14ac:dyDescent="0.3">
      <c r="A760"/>
      <c r="C760"/>
    </row>
    <row r="761" spans="1:3" x14ac:dyDescent="0.3">
      <c r="A761"/>
      <c r="C761"/>
    </row>
    <row r="762" spans="1:3" x14ac:dyDescent="0.3">
      <c r="A762"/>
      <c r="C762"/>
    </row>
    <row r="763" spans="1:3" x14ac:dyDescent="0.3">
      <c r="A763"/>
      <c r="C763"/>
    </row>
    <row r="764" spans="1:3" x14ac:dyDescent="0.3">
      <c r="A764"/>
      <c r="C764"/>
    </row>
    <row r="765" spans="1:3" x14ac:dyDescent="0.3">
      <c r="A765"/>
      <c r="C765"/>
    </row>
    <row r="766" spans="1:3" x14ac:dyDescent="0.3">
      <c r="A766"/>
      <c r="C766"/>
    </row>
    <row r="767" spans="1:3" x14ac:dyDescent="0.3">
      <c r="A767"/>
      <c r="C767"/>
    </row>
    <row r="768" spans="1:3" x14ac:dyDescent="0.3">
      <c r="A768"/>
      <c r="C768"/>
    </row>
    <row r="769" spans="1:3" x14ac:dyDescent="0.3">
      <c r="A769"/>
      <c r="C769"/>
    </row>
    <row r="770" spans="1:3" x14ac:dyDescent="0.3">
      <c r="A770"/>
      <c r="C770"/>
    </row>
    <row r="771" spans="1:3" x14ac:dyDescent="0.3">
      <c r="A771"/>
      <c r="C771"/>
    </row>
    <row r="772" spans="1:3" x14ac:dyDescent="0.3">
      <c r="A772"/>
      <c r="C772"/>
    </row>
    <row r="773" spans="1:3" x14ac:dyDescent="0.3">
      <c r="A773"/>
      <c r="C773"/>
    </row>
    <row r="774" spans="1:3" x14ac:dyDescent="0.3">
      <c r="A774"/>
      <c r="C774"/>
    </row>
    <row r="775" spans="1:3" x14ac:dyDescent="0.3">
      <c r="A775"/>
      <c r="C775"/>
    </row>
    <row r="776" spans="1:3" x14ac:dyDescent="0.3">
      <c r="A776"/>
      <c r="C776"/>
    </row>
    <row r="777" spans="1:3" x14ac:dyDescent="0.3">
      <c r="A777"/>
      <c r="C777"/>
    </row>
    <row r="778" spans="1:3" x14ac:dyDescent="0.3">
      <c r="A778"/>
      <c r="C778"/>
    </row>
    <row r="779" spans="1:3" x14ac:dyDescent="0.3">
      <c r="A779"/>
      <c r="C779"/>
    </row>
    <row r="780" spans="1:3" x14ac:dyDescent="0.3">
      <c r="A780"/>
      <c r="C780"/>
    </row>
    <row r="781" spans="1:3" x14ac:dyDescent="0.3">
      <c r="A781"/>
      <c r="C781"/>
    </row>
    <row r="782" spans="1:3" x14ac:dyDescent="0.3">
      <c r="A782"/>
      <c r="C782"/>
    </row>
    <row r="783" spans="1:3" x14ac:dyDescent="0.3">
      <c r="A783"/>
      <c r="C783"/>
    </row>
    <row r="784" spans="1:3" x14ac:dyDescent="0.3">
      <c r="A784"/>
      <c r="C784"/>
    </row>
    <row r="785" spans="1:3" x14ac:dyDescent="0.3">
      <c r="A785"/>
      <c r="C785"/>
    </row>
    <row r="786" spans="1:3" x14ac:dyDescent="0.3">
      <c r="A786"/>
      <c r="C786"/>
    </row>
    <row r="787" spans="1:3" x14ac:dyDescent="0.3">
      <c r="A787"/>
      <c r="C787"/>
    </row>
    <row r="788" spans="1:3" x14ac:dyDescent="0.3">
      <c r="A788"/>
      <c r="C788"/>
    </row>
    <row r="789" spans="1:3" x14ac:dyDescent="0.3">
      <c r="A789"/>
      <c r="C789"/>
    </row>
    <row r="790" spans="1:3" x14ac:dyDescent="0.3">
      <c r="A790"/>
      <c r="C790"/>
    </row>
    <row r="791" spans="1:3" x14ac:dyDescent="0.3">
      <c r="A791"/>
      <c r="C791"/>
    </row>
    <row r="792" spans="1:3" x14ac:dyDescent="0.3">
      <c r="A792"/>
      <c r="C792"/>
    </row>
    <row r="793" spans="1:3" x14ac:dyDescent="0.3">
      <c r="A793"/>
      <c r="C793"/>
    </row>
    <row r="794" spans="1:3" x14ac:dyDescent="0.3">
      <c r="A794"/>
      <c r="C794"/>
    </row>
    <row r="795" spans="1:3" x14ac:dyDescent="0.3">
      <c r="A795"/>
      <c r="C795"/>
    </row>
    <row r="796" spans="1:3" x14ac:dyDescent="0.3">
      <c r="A796"/>
      <c r="C796"/>
    </row>
    <row r="797" spans="1:3" x14ac:dyDescent="0.3">
      <c r="A797"/>
      <c r="C797"/>
    </row>
    <row r="798" spans="1:3" x14ac:dyDescent="0.3">
      <c r="A798"/>
      <c r="C798"/>
    </row>
    <row r="799" spans="1:3" x14ac:dyDescent="0.3">
      <c r="A799"/>
      <c r="C799"/>
    </row>
    <row r="800" spans="1:3" x14ac:dyDescent="0.3">
      <c r="A800"/>
      <c r="C800"/>
    </row>
    <row r="801" spans="1:3" x14ac:dyDescent="0.3">
      <c r="A801"/>
      <c r="C801"/>
    </row>
    <row r="802" spans="1:3" x14ac:dyDescent="0.3">
      <c r="A802"/>
      <c r="C802"/>
    </row>
    <row r="803" spans="1:3" x14ac:dyDescent="0.3">
      <c r="A803"/>
      <c r="C803"/>
    </row>
    <row r="804" spans="1:3" x14ac:dyDescent="0.3">
      <c r="A804"/>
      <c r="C804"/>
    </row>
    <row r="805" spans="1:3" x14ac:dyDescent="0.3">
      <c r="A805"/>
      <c r="C805"/>
    </row>
    <row r="806" spans="1:3" x14ac:dyDescent="0.3">
      <c r="A806"/>
      <c r="C806"/>
    </row>
    <row r="807" spans="1:3" x14ac:dyDescent="0.3">
      <c r="A807"/>
      <c r="C807"/>
    </row>
    <row r="808" spans="1:3" x14ac:dyDescent="0.3">
      <c r="A808"/>
      <c r="C808"/>
    </row>
    <row r="809" spans="1:3" x14ac:dyDescent="0.3">
      <c r="A809"/>
      <c r="C809"/>
    </row>
    <row r="810" spans="1:3" x14ac:dyDescent="0.3">
      <c r="A810"/>
      <c r="C810"/>
    </row>
    <row r="811" spans="1:3" x14ac:dyDescent="0.3">
      <c r="A811"/>
      <c r="C811"/>
    </row>
    <row r="812" spans="1:3" x14ac:dyDescent="0.3">
      <c r="A812"/>
      <c r="C812"/>
    </row>
    <row r="813" spans="1:3" x14ac:dyDescent="0.3">
      <c r="A813"/>
      <c r="C813"/>
    </row>
    <row r="814" spans="1:3" x14ac:dyDescent="0.3">
      <c r="A814"/>
      <c r="C814"/>
    </row>
    <row r="815" spans="1:3" x14ac:dyDescent="0.3">
      <c r="A815"/>
      <c r="C815"/>
    </row>
    <row r="816" spans="1:3" x14ac:dyDescent="0.3">
      <c r="A816"/>
      <c r="C816"/>
    </row>
    <row r="817" spans="1:3" x14ac:dyDescent="0.3">
      <c r="A817"/>
      <c r="C817"/>
    </row>
    <row r="818" spans="1:3" x14ac:dyDescent="0.3">
      <c r="A818"/>
      <c r="C818"/>
    </row>
    <row r="819" spans="1:3" x14ac:dyDescent="0.3">
      <c r="A819"/>
      <c r="C819"/>
    </row>
    <row r="820" spans="1:3" x14ac:dyDescent="0.3">
      <c r="A820"/>
      <c r="C820"/>
    </row>
    <row r="821" spans="1:3" x14ac:dyDescent="0.3">
      <c r="A821"/>
      <c r="C821"/>
    </row>
    <row r="822" spans="1:3" x14ac:dyDescent="0.3">
      <c r="A822"/>
      <c r="C822"/>
    </row>
    <row r="823" spans="1:3" x14ac:dyDescent="0.3">
      <c r="A823"/>
      <c r="C823"/>
    </row>
    <row r="824" spans="1:3" x14ac:dyDescent="0.3">
      <c r="A824"/>
      <c r="C824"/>
    </row>
    <row r="825" spans="1:3" x14ac:dyDescent="0.3">
      <c r="A825"/>
      <c r="C825"/>
    </row>
    <row r="826" spans="1:3" x14ac:dyDescent="0.3">
      <c r="A826"/>
      <c r="C826"/>
    </row>
    <row r="827" spans="1:3" x14ac:dyDescent="0.3">
      <c r="A827"/>
      <c r="C827"/>
    </row>
    <row r="828" spans="1:3" x14ac:dyDescent="0.3">
      <c r="A828"/>
      <c r="C828"/>
    </row>
    <row r="829" spans="1:3" x14ac:dyDescent="0.3">
      <c r="A829"/>
      <c r="C829"/>
    </row>
    <row r="830" spans="1:3" x14ac:dyDescent="0.3">
      <c r="A830"/>
      <c r="C830"/>
    </row>
    <row r="831" spans="1:3" x14ac:dyDescent="0.3">
      <c r="A831"/>
      <c r="C831"/>
    </row>
    <row r="832" spans="1:3" x14ac:dyDescent="0.3">
      <c r="A832"/>
      <c r="C832"/>
    </row>
    <row r="833" spans="1:3" x14ac:dyDescent="0.3">
      <c r="A833"/>
      <c r="C833"/>
    </row>
    <row r="834" spans="1:3" x14ac:dyDescent="0.3">
      <c r="A834"/>
      <c r="C834"/>
    </row>
    <row r="835" spans="1:3" x14ac:dyDescent="0.3">
      <c r="A835"/>
      <c r="C835"/>
    </row>
    <row r="836" spans="1:3" x14ac:dyDescent="0.3">
      <c r="A836"/>
      <c r="C836"/>
    </row>
    <row r="837" spans="1:3" x14ac:dyDescent="0.3">
      <c r="A837"/>
      <c r="C837"/>
    </row>
    <row r="838" spans="1:3" x14ac:dyDescent="0.3">
      <c r="A838"/>
      <c r="C838"/>
    </row>
    <row r="839" spans="1:3" x14ac:dyDescent="0.3">
      <c r="A839"/>
      <c r="C839"/>
    </row>
    <row r="840" spans="1:3" x14ac:dyDescent="0.3">
      <c r="A840"/>
      <c r="C840"/>
    </row>
    <row r="841" spans="1:3" x14ac:dyDescent="0.3">
      <c r="A841"/>
      <c r="C841"/>
    </row>
    <row r="842" spans="1:3" x14ac:dyDescent="0.3">
      <c r="A842"/>
      <c r="C842"/>
    </row>
    <row r="843" spans="1:3" x14ac:dyDescent="0.3">
      <c r="A843"/>
      <c r="C843"/>
    </row>
    <row r="844" spans="1:3" x14ac:dyDescent="0.3">
      <c r="A844"/>
      <c r="C844"/>
    </row>
    <row r="845" spans="1:3" x14ac:dyDescent="0.3">
      <c r="A845"/>
      <c r="C845"/>
    </row>
    <row r="846" spans="1:3" x14ac:dyDescent="0.3">
      <c r="A846"/>
      <c r="C846"/>
    </row>
    <row r="847" spans="1:3" x14ac:dyDescent="0.3">
      <c r="A847"/>
      <c r="C847"/>
    </row>
    <row r="848" spans="1:3" x14ac:dyDescent="0.3">
      <c r="A848"/>
      <c r="C848"/>
    </row>
    <row r="849" spans="1:3" x14ac:dyDescent="0.3">
      <c r="A849"/>
      <c r="C849"/>
    </row>
    <row r="850" spans="1:3" x14ac:dyDescent="0.3">
      <c r="A850"/>
      <c r="C850"/>
    </row>
    <row r="851" spans="1:3" x14ac:dyDescent="0.3">
      <c r="A851"/>
      <c r="C851"/>
    </row>
    <row r="852" spans="1:3" x14ac:dyDescent="0.3">
      <c r="A852"/>
      <c r="C852"/>
    </row>
    <row r="853" spans="1:3" x14ac:dyDescent="0.3">
      <c r="A853"/>
      <c r="C853"/>
    </row>
    <row r="854" spans="1:3" x14ac:dyDescent="0.3">
      <c r="A854"/>
      <c r="C854"/>
    </row>
    <row r="855" spans="1:3" x14ac:dyDescent="0.3">
      <c r="A855"/>
      <c r="C855"/>
    </row>
    <row r="856" spans="1:3" x14ac:dyDescent="0.3">
      <c r="A856"/>
      <c r="C856"/>
    </row>
    <row r="857" spans="1:3" x14ac:dyDescent="0.3">
      <c r="A857"/>
      <c r="C857"/>
    </row>
    <row r="858" spans="1:3" x14ac:dyDescent="0.3">
      <c r="A858"/>
      <c r="C858"/>
    </row>
    <row r="859" spans="1:3" x14ac:dyDescent="0.3">
      <c r="A859"/>
      <c r="C859"/>
    </row>
    <row r="860" spans="1:3" x14ac:dyDescent="0.3">
      <c r="A860"/>
      <c r="C860"/>
    </row>
    <row r="861" spans="1:3" x14ac:dyDescent="0.3">
      <c r="A861"/>
      <c r="C861"/>
    </row>
    <row r="862" spans="1:3" x14ac:dyDescent="0.3">
      <c r="A862"/>
      <c r="C862"/>
    </row>
    <row r="863" spans="1:3" x14ac:dyDescent="0.3">
      <c r="A863"/>
      <c r="C863"/>
    </row>
    <row r="864" spans="1:3" x14ac:dyDescent="0.3">
      <c r="A864"/>
      <c r="C864"/>
    </row>
    <row r="865" spans="1:3" x14ac:dyDescent="0.3">
      <c r="A865"/>
      <c r="C865"/>
    </row>
    <row r="866" spans="1:3" x14ac:dyDescent="0.3">
      <c r="A866"/>
      <c r="C866"/>
    </row>
    <row r="867" spans="1:3" x14ac:dyDescent="0.3">
      <c r="A867"/>
      <c r="C867"/>
    </row>
    <row r="868" spans="1:3" x14ac:dyDescent="0.3">
      <c r="A868"/>
      <c r="C868"/>
    </row>
    <row r="869" spans="1:3" x14ac:dyDescent="0.3">
      <c r="A869"/>
      <c r="C869"/>
    </row>
    <row r="870" spans="1:3" x14ac:dyDescent="0.3">
      <c r="A870"/>
      <c r="C870"/>
    </row>
    <row r="871" spans="1:3" x14ac:dyDescent="0.3">
      <c r="A871"/>
      <c r="C871"/>
    </row>
    <row r="872" spans="1:3" x14ac:dyDescent="0.3">
      <c r="A872"/>
      <c r="C872"/>
    </row>
    <row r="873" spans="1:3" x14ac:dyDescent="0.3">
      <c r="A873"/>
      <c r="C873"/>
    </row>
    <row r="874" spans="1:3" x14ac:dyDescent="0.3">
      <c r="A874"/>
      <c r="C874"/>
    </row>
    <row r="875" spans="1:3" x14ac:dyDescent="0.3">
      <c r="A875"/>
      <c r="C875"/>
    </row>
    <row r="876" spans="1:3" x14ac:dyDescent="0.3">
      <c r="A876"/>
      <c r="C876"/>
    </row>
    <row r="877" spans="1:3" x14ac:dyDescent="0.3">
      <c r="A877"/>
      <c r="C877"/>
    </row>
    <row r="878" spans="1:3" x14ac:dyDescent="0.3">
      <c r="A878"/>
      <c r="C878"/>
    </row>
    <row r="879" spans="1:3" x14ac:dyDescent="0.3">
      <c r="A879"/>
      <c r="C879"/>
    </row>
    <row r="880" spans="1:3" x14ac:dyDescent="0.3">
      <c r="A880"/>
      <c r="C880"/>
    </row>
    <row r="881" spans="1:3" x14ac:dyDescent="0.3">
      <c r="A881"/>
      <c r="C881"/>
    </row>
    <row r="882" spans="1:3" x14ac:dyDescent="0.3">
      <c r="A882"/>
      <c r="C882"/>
    </row>
    <row r="883" spans="1:3" x14ac:dyDescent="0.3">
      <c r="A883"/>
      <c r="C883"/>
    </row>
    <row r="884" spans="1:3" x14ac:dyDescent="0.3">
      <c r="A884"/>
      <c r="C884"/>
    </row>
    <row r="885" spans="1:3" x14ac:dyDescent="0.3">
      <c r="A885"/>
      <c r="C885"/>
    </row>
    <row r="886" spans="1:3" x14ac:dyDescent="0.3">
      <c r="A886"/>
      <c r="C886"/>
    </row>
    <row r="887" spans="1:3" x14ac:dyDescent="0.3">
      <c r="A887"/>
      <c r="C887"/>
    </row>
    <row r="888" spans="1:3" x14ac:dyDescent="0.3">
      <c r="A888"/>
      <c r="C888"/>
    </row>
    <row r="889" spans="1:3" x14ac:dyDescent="0.3">
      <c r="A889"/>
      <c r="C889"/>
    </row>
    <row r="890" spans="1:3" x14ac:dyDescent="0.3">
      <c r="A890"/>
      <c r="C890"/>
    </row>
    <row r="891" spans="1:3" x14ac:dyDescent="0.3">
      <c r="A891"/>
      <c r="C891"/>
    </row>
    <row r="892" spans="1:3" x14ac:dyDescent="0.3">
      <c r="A892"/>
      <c r="C892"/>
    </row>
    <row r="893" spans="1:3" x14ac:dyDescent="0.3">
      <c r="A893"/>
      <c r="C893"/>
    </row>
    <row r="894" spans="1:3" x14ac:dyDescent="0.3">
      <c r="A894"/>
      <c r="C894"/>
    </row>
    <row r="895" spans="1:3" x14ac:dyDescent="0.3">
      <c r="A895"/>
      <c r="C895"/>
    </row>
    <row r="896" spans="1:3" x14ac:dyDescent="0.3">
      <c r="A896"/>
      <c r="C896"/>
    </row>
    <row r="897" spans="1:3" x14ac:dyDescent="0.3">
      <c r="A897"/>
      <c r="C897"/>
    </row>
    <row r="898" spans="1:3" x14ac:dyDescent="0.3">
      <c r="A898"/>
      <c r="C898"/>
    </row>
    <row r="899" spans="1:3" x14ac:dyDescent="0.3">
      <c r="A899"/>
      <c r="C899"/>
    </row>
    <row r="900" spans="1:3" x14ac:dyDescent="0.3">
      <c r="A900"/>
      <c r="C900"/>
    </row>
    <row r="901" spans="1:3" x14ac:dyDescent="0.3">
      <c r="A901"/>
      <c r="C901"/>
    </row>
    <row r="902" spans="1:3" x14ac:dyDescent="0.3">
      <c r="A902"/>
      <c r="C902"/>
    </row>
    <row r="903" spans="1:3" x14ac:dyDescent="0.3">
      <c r="A903"/>
      <c r="C903"/>
    </row>
    <row r="904" spans="1:3" x14ac:dyDescent="0.3">
      <c r="A904"/>
      <c r="C904"/>
    </row>
    <row r="905" spans="1:3" x14ac:dyDescent="0.3">
      <c r="A905"/>
      <c r="C905"/>
    </row>
    <row r="906" spans="1:3" x14ac:dyDescent="0.3">
      <c r="A906"/>
      <c r="C906"/>
    </row>
    <row r="907" spans="1:3" x14ac:dyDescent="0.3">
      <c r="A907"/>
      <c r="C907"/>
    </row>
    <row r="908" spans="1:3" x14ac:dyDescent="0.3">
      <c r="A908"/>
      <c r="C908"/>
    </row>
    <row r="909" spans="1:3" x14ac:dyDescent="0.3">
      <c r="A909"/>
      <c r="C909"/>
    </row>
    <row r="910" spans="1:3" x14ac:dyDescent="0.3">
      <c r="A910"/>
      <c r="C910"/>
    </row>
    <row r="911" spans="1:3" x14ac:dyDescent="0.3">
      <c r="A911"/>
      <c r="C911"/>
    </row>
    <row r="912" spans="1:3" x14ac:dyDescent="0.3">
      <c r="A912"/>
      <c r="C912"/>
    </row>
    <row r="913" spans="1:3" x14ac:dyDescent="0.3">
      <c r="A913"/>
      <c r="C913"/>
    </row>
    <row r="914" spans="1:3" x14ac:dyDescent="0.3">
      <c r="A914"/>
      <c r="C914"/>
    </row>
    <row r="915" spans="1:3" x14ac:dyDescent="0.3">
      <c r="A915"/>
      <c r="C915"/>
    </row>
    <row r="916" spans="1:3" x14ac:dyDescent="0.3">
      <c r="A916"/>
      <c r="C916"/>
    </row>
    <row r="917" spans="1:3" x14ac:dyDescent="0.3">
      <c r="A917"/>
      <c r="C917"/>
    </row>
    <row r="918" spans="1:3" x14ac:dyDescent="0.3">
      <c r="A918"/>
      <c r="C918"/>
    </row>
    <row r="919" spans="1:3" x14ac:dyDescent="0.3">
      <c r="A919"/>
      <c r="C919"/>
    </row>
    <row r="920" spans="1:3" x14ac:dyDescent="0.3">
      <c r="A920"/>
      <c r="C920"/>
    </row>
    <row r="921" spans="1:3" x14ac:dyDescent="0.3">
      <c r="A921"/>
      <c r="C921"/>
    </row>
    <row r="922" spans="1:3" x14ac:dyDescent="0.3">
      <c r="A922"/>
      <c r="C922"/>
    </row>
    <row r="923" spans="1:3" x14ac:dyDescent="0.3">
      <c r="A923"/>
      <c r="C923"/>
    </row>
    <row r="924" spans="1:3" x14ac:dyDescent="0.3">
      <c r="A924"/>
      <c r="C924"/>
    </row>
    <row r="925" spans="1:3" x14ac:dyDescent="0.3">
      <c r="A925"/>
      <c r="C925"/>
    </row>
    <row r="926" spans="1:3" x14ac:dyDescent="0.3">
      <c r="A926"/>
      <c r="C926"/>
    </row>
    <row r="927" spans="1:3" x14ac:dyDescent="0.3">
      <c r="A927"/>
      <c r="C927"/>
    </row>
    <row r="928" spans="1:3" x14ac:dyDescent="0.3">
      <c r="A928"/>
      <c r="C928"/>
    </row>
    <row r="929" spans="1:3" x14ac:dyDescent="0.3">
      <c r="A929"/>
      <c r="C929"/>
    </row>
    <row r="930" spans="1:3" x14ac:dyDescent="0.3">
      <c r="A930"/>
      <c r="C930"/>
    </row>
    <row r="931" spans="1:3" x14ac:dyDescent="0.3">
      <c r="A931"/>
      <c r="C931"/>
    </row>
    <row r="932" spans="1:3" x14ac:dyDescent="0.3">
      <c r="A932"/>
      <c r="C932"/>
    </row>
    <row r="933" spans="1:3" x14ac:dyDescent="0.3">
      <c r="A933"/>
      <c r="C933"/>
    </row>
    <row r="934" spans="1:3" x14ac:dyDescent="0.3">
      <c r="A934"/>
      <c r="C934"/>
    </row>
    <row r="935" spans="1:3" x14ac:dyDescent="0.3">
      <c r="A935"/>
      <c r="C935"/>
    </row>
    <row r="936" spans="1:3" x14ac:dyDescent="0.3">
      <c r="A936"/>
      <c r="C936"/>
    </row>
    <row r="937" spans="1:3" x14ac:dyDescent="0.3">
      <c r="A937"/>
      <c r="C937"/>
    </row>
    <row r="938" spans="1:3" x14ac:dyDescent="0.3">
      <c r="A938"/>
      <c r="C938"/>
    </row>
    <row r="939" spans="1:3" x14ac:dyDescent="0.3">
      <c r="A939"/>
      <c r="C939"/>
    </row>
    <row r="940" spans="1:3" x14ac:dyDescent="0.3">
      <c r="A940"/>
      <c r="C940"/>
    </row>
    <row r="941" spans="1:3" x14ac:dyDescent="0.3">
      <c r="A941"/>
      <c r="C941"/>
    </row>
    <row r="942" spans="1:3" x14ac:dyDescent="0.3">
      <c r="A942"/>
      <c r="C942"/>
    </row>
    <row r="943" spans="1:3" x14ac:dyDescent="0.3">
      <c r="A943"/>
      <c r="C943"/>
    </row>
    <row r="944" spans="1:3" x14ac:dyDescent="0.3">
      <c r="A944"/>
      <c r="C944"/>
    </row>
    <row r="945" spans="1:3" x14ac:dyDescent="0.3">
      <c r="A945"/>
      <c r="C945"/>
    </row>
    <row r="946" spans="1:3" x14ac:dyDescent="0.3">
      <c r="A946"/>
      <c r="C946"/>
    </row>
    <row r="947" spans="1:3" x14ac:dyDescent="0.3">
      <c r="A947"/>
      <c r="C947"/>
    </row>
    <row r="948" spans="1:3" x14ac:dyDescent="0.3">
      <c r="A948"/>
      <c r="C948"/>
    </row>
    <row r="949" spans="1:3" x14ac:dyDescent="0.3">
      <c r="A949"/>
      <c r="C949"/>
    </row>
    <row r="950" spans="1:3" x14ac:dyDescent="0.3">
      <c r="A950"/>
      <c r="C950"/>
    </row>
    <row r="951" spans="1:3" x14ac:dyDescent="0.3">
      <c r="A951"/>
      <c r="C951"/>
    </row>
    <row r="952" spans="1:3" x14ac:dyDescent="0.3">
      <c r="A952"/>
      <c r="C952"/>
    </row>
    <row r="953" spans="1:3" x14ac:dyDescent="0.3">
      <c r="A953"/>
      <c r="C953"/>
    </row>
    <row r="954" spans="1:3" x14ac:dyDescent="0.3">
      <c r="A954"/>
      <c r="C954"/>
    </row>
    <row r="955" spans="1:3" x14ac:dyDescent="0.3">
      <c r="A955"/>
      <c r="C955"/>
    </row>
    <row r="956" spans="1:3" x14ac:dyDescent="0.3">
      <c r="A956"/>
      <c r="C956"/>
    </row>
    <row r="957" spans="1:3" x14ac:dyDescent="0.3">
      <c r="A957"/>
      <c r="C957"/>
    </row>
    <row r="958" spans="1:3" x14ac:dyDescent="0.3">
      <c r="A958"/>
      <c r="C958"/>
    </row>
    <row r="959" spans="1:3" x14ac:dyDescent="0.3">
      <c r="A959"/>
      <c r="C959"/>
    </row>
    <row r="960" spans="1:3" x14ac:dyDescent="0.3">
      <c r="A960"/>
      <c r="C960"/>
    </row>
    <row r="961" spans="1:3" x14ac:dyDescent="0.3">
      <c r="A961"/>
      <c r="C961"/>
    </row>
    <row r="962" spans="1:3" x14ac:dyDescent="0.3">
      <c r="A962"/>
      <c r="C962"/>
    </row>
    <row r="963" spans="1:3" x14ac:dyDescent="0.3">
      <c r="A963"/>
      <c r="C963"/>
    </row>
    <row r="964" spans="1:3" x14ac:dyDescent="0.3">
      <c r="A964"/>
      <c r="C964"/>
    </row>
    <row r="965" spans="1:3" x14ac:dyDescent="0.3">
      <c r="A965"/>
      <c r="C965"/>
    </row>
    <row r="966" spans="1:3" x14ac:dyDescent="0.3">
      <c r="A966"/>
      <c r="C966"/>
    </row>
    <row r="967" spans="1:3" x14ac:dyDescent="0.3">
      <c r="A967"/>
      <c r="C967"/>
    </row>
    <row r="968" spans="1:3" x14ac:dyDescent="0.3">
      <c r="A968"/>
      <c r="C968"/>
    </row>
    <row r="969" spans="1:3" x14ac:dyDescent="0.3">
      <c r="A969"/>
      <c r="C969"/>
    </row>
    <row r="970" spans="1:3" x14ac:dyDescent="0.3">
      <c r="A970"/>
      <c r="C970"/>
    </row>
    <row r="971" spans="1:3" x14ac:dyDescent="0.3">
      <c r="A971"/>
      <c r="C971"/>
    </row>
    <row r="972" spans="1:3" x14ac:dyDescent="0.3">
      <c r="A972"/>
      <c r="C972"/>
    </row>
    <row r="973" spans="1:3" x14ac:dyDescent="0.3">
      <c r="A973"/>
      <c r="C973"/>
    </row>
    <row r="974" spans="1:3" x14ac:dyDescent="0.3">
      <c r="A974"/>
      <c r="C974"/>
    </row>
    <row r="975" spans="1:3" x14ac:dyDescent="0.3">
      <c r="A975"/>
      <c r="C975"/>
    </row>
    <row r="976" spans="1:3" x14ac:dyDescent="0.3">
      <c r="A976"/>
      <c r="C976"/>
    </row>
    <row r="977" spans="1:3" x14ac:dyDescent="0.3">
      <c r="A977"/>
      <c r="C977"/>
    </row>
    <row r="978" spans="1:3" x14ac:dyDescent="0.3">
      <c r="A978"/>
      <c r="C978"/>
    </row>
    <row r="979" spans="1:3" x14ac:dyDescent="0.3">
      <c r="A979"/>
      <c r="C97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Portfolio_Click">
                <anchor moveWithCells="1" sizeWithCells="1">
                  <from>
                    <xdr:col>13</xdr:col>
                    <xdr:colOff>0</xdr:colOff>
                    <xdr:row>0</xdr:row>
                    <xdr:rowOff>38100</xdr:rowOff>
                  </from>
                  <to>
                    <xdr:col>16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Portfolio_Click">
                <anchor moveWithCells="1" sizeWithCells="1">
                  <from>
                    <xdr:col>13</xdr:col>
                    <xdr:colOff>0</xdr:colOff>
                    <xdr:row>7</xdr:row>
                    <xdr:rowOff>45720</xdr:rowOff>
                  </from>
                  <to>
                    <xdr:col>16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unPortfolio_Click">
                <anchor moveWithCells="1" sizeWithCells="1">
                  <from>
                    <xdr:col>13</xdr:col>
                    <xdr:colOff>0</xdr:colOff>
                    <xdr:row>3</xdr:row>
                    <xdr:rowOff>129540</xdr:rowOff>
                  </from>
                  <to>
                    <xdr:col>16</xdr:col>
                    <xdr:colOff>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001"/>
  <sheetViews>
    <sheetView showGridLines="0" zoomScaleNormal="100" workbookViewId="0"/>
  </sheetViews>
  <sheetFormatPr defaultRowHeight="14.4" x14ac:dyDescent="0.3"/>
  <cols>
    <col min="1" max="1" width="9.5546875" style="1" bestFit="1" customWidth="1"/>
    <col min="2" max="2" width="10.5546875" bestFit="1" customWidth="1"/>
    <col min="3" max="3" width="16.33203125" bestFit="1" customWidth="1"/>
    <col min="4" max="4" width="8.88671875" style="13" customWidth="1"/>
  </cols>
  <sheetData>
    <row r="1" spans="1:4" x14ac:dyDescent="0.3">
      <c r="A1" s="7" t="s">
        <v>8</v>
      </c>
      <c r="B1" s="7" t="s">
        <v>6</v>
      </c>
      <c r="C1" s="7" t="s">
        <v>3</v>
      </c>
      <c r="D1" s="7" t="s">
        <v>7</v>
      </c>
    </row>
    <row r="2" spans="1:4" x14ac:dyDescent="0.3">
      <c r="A2" s="28">
        <v>43880</v>
      </c>
      <c r="B2" s="6">
        <v>1</v>
      </c>
      <c r="C2" s="6" t="s">
        <v>26</v>
      </c>
      <c r="D2" s="31">
        <v>100000</v>
      </c>
    </row>
    <row r="3" spans="1:4" x14ac:dyDescent="0.3">
      <c r="A3" s="28">
        <v>43881</v>
      </c>
      <c r="B3" s="6">
        <v>1</v>
      </c>
      <c r="C3" s="6" t="s">
        <v>26</v>
      </c>
      <c r="D3" s="31">
        <v>100000</v>
      </c>
    </row>
    <row r="4" spans="1:4" x14ac:dyDescent="0.3">
      <c r="A4" s="28">
        <v>43882</v>
      </c>
      <c r="B4" s="6">
        <v>1</v>
      </c>
      <c r="C4" s="6" t="s">
        <v>26</v>
      </c>
      <c r="D4" s="31">
        <v>100000</v>
      </c>
    </row>
    <row r="5" spans="1:4" x14ac:dyDescent="0.3">
      <c r="A5" s="28">
        <v>43885</v>
      </c>
      <c r="B5" s="6">
        <v>1</v>
      </c>
      <c r="C5" s="6" t="s">
        <v>26</v>
      </c>
      <c r="D5" s="31">
        <v>100000</v>
      </c>
    </row>
    <row r="6" spans="1:4" x14ac:dyDescent="0.3">
      <c r="A6" s="28">
        <v>43886</v>
      </c>
      <c r="B6" s="6">
        <v>1</v>
      </c>
      <c r="C6" s="6" t="s">
        <v>26</v>
      </c>
      <c r="D6" s="31">
        <v>100000</v>
      </c>
    </row>
    <row r="7" spans="1:4" x14ac:dyDescent="0.3">
      <c r="A7" s="28">
        <v>43887</v>
      </c>
      <c r="B7" s="6">
        <v>1</v>
      </c>
      <c r="C7" s="6" t="s">
        <v>26</v>
      </c>
      <c r="D7" s="31">
        <v>100000</v>
      </c>
    </row>
    <row r="8" spans="1:4" x14ac:dyDescent="0.3">
      <c r="A8" s="28">
        <v>43888</v>
      </c>
      <c r="B8" s="6">
        <v>1</v>
      </c>
      <c r="C8" s="6" t="s">
        <v>26</v>
      </c>
      <c r="D8" s="31">
        <v>100000</v>
      </c>
    </row>
    <row r="9" spans="1:4" x14ac:dyDescent="0.3">
      <c r="A9" s="28">
        <v>43889</v>
      </c>
      <c r="B9" s="6">
        <v>1</v>
      </c>
      <c r="C9" s="6" t="s">
        <v>26</v>
      </c>
      <c r="D9" s="31">
        <v>100000</v>
      </c>
    </row>
    <row r="10" spans="1:4" x14ac:dyDescent="0.3">
      <c r="A10" s="28">
        <v>43892</v>
      </c>
      <c r="B10" s="6">
        <v>1</v>
      </c>
      <c r="C10" s="6" t="s">
        <v>26</v>
      </c>
      <c r="D10" s="31">
        <v>100000</v>
      </c>
    </row>
    <row r="11" spans="1:4" x14ac:dyDescent="0.3">
      <c r="A11" s="28">
        <v>43893</v>
      </c>
      <c r="B11" s="6">
        <v>1</v>
      </c>
      <c r="C11" s="6" t="s">
        <v>26</v>
      </c>
      <c r="D11" s="31">
        <v>100000</v>
      </c>
    </row>
    <row r="12" spans="1:4" x14ac:dyDescent="0.3">
      <c r="A12" s="28">
        <v>43894</v>
      </c>
      <c r="B12" s="6">
        <v>1</v>
      </c>
      <c r="C12" s="6" t="s">
        <v>26</v>
      </c>
      <c r="D12" s="31">
        <v>100000</v>
      </c>
    </row>
    <row r="13" spans="1:4" x14ac:dyDescent="0.3">
      <c r="A13" s="28">
        <v>43895</v>
      </c>
      <c r="B13" s="6">
        <v>1</v>
      </c>
      <c r="C13" s="6" t="s">
        <v>26</v>
      </c>
      <c r="D13" s="31">
        <v>100000</v>
      </c>
    </row>
    <row r="14" spans="1:4" x14ac:dyDescent="0.3">
      <c r="A14" s="28">
        <v>43896</v>
      </c>
      <c r="B14" s="6">
        <v>1</v>
      </c>
      <c r="C14" s="6" t="s">
        <v>26</v>
      </c>
      <c r="D14" s="31">
        <v>100000</v>
      </c>
    </row>
    <row r="15" spans="1:4" x14ac:dyDescent="0.3">
      <c r="A15" s="28">
        <v>43899</v>
      </c>
      <c r="B15" s="6">
        <v>1</v>
      </c>
      <c r="C15" s="6" t="s">
        <v>26</v>
      </c>
      <c r="D15" s="31">
        <v>100000</v>
      </c>
    </row>
    <row r="16" spans="1:4" x14ac:dyDescent="0.3">
      <c r="A16" s="28">
        <v>43900</v>
      </c>
      <c r="B16" s="6">
        <v>1</v>
      </c>
      <c r="C16" s="6" t="s">
        <v>26</v>
      </c>
      <c r="D16" s="31">
        <v>100000</v>
      </c>
    </row>
    <row r="17" spans="1:4" x14ac:dyDescent="0.3">
      <c r="A17" s="28">
        <v>43901</v>
      </c>
      <c r="B17" s="6">
        <v>1</v>
      </c>
      <c r="C17" s="6" t="s">
        <v>26</v>
      </c>
      <c r="D17" s="31">
        <v>100000</v>
      </c>
    </row>
    <row r="18" spans="1:4" x14ac:dyDescent="0.3">
      <c r="A18" s="28">
        <v>43902</v>
      </c>
      <c r="B18" s="6">
        <v>1</v>
      </c>
      <c r="C18" s="6" t="s">
        <v>26</v>
      </c>
      <c r="D18" s="31">
        <v>100000</v>
      </c>
    </row>
    <row r="19" spans="1:4" x14ac:dyDescent="0.3">
      <c r="A19" s="28">
        <v>43903</v>
      </c>
      <c r="B19" s="6">
        <v>1</v>
      </c>
      <c r="C19" s="6" t="s">
        <v>26</v>
      </c>
      <c r="D19" s="31">
        <v>100000</v>
      </c>
    </row>
    <row r="20" spans="1:4" x14ac:dyDescent="0.3">
      <c r="A20" s="28">
        <v>43906</v>
      </c>
      <c r="B20" s="6">
        <v>1</v>
      </c>
      <c r="C20" s="6" t="s">
        <v>26</v>
      </c>
      <c r="D20" s="31">
        <v>100000</v>
      </c>
    </row>
    <row r="21" spans="1:4" x14ac:dyDescent="0.3">
      <c r="A21" s="28">
        <v>43907</v>
      </c>
      <c r="B21" s="6">
        <v>1</v>
      </c>
      <c r="C21" s="6" t="s">
        <v>26</v>
      </c>
      <c r="D21" s="31">
        <v>100000</v>
      </c>
    </row>
    <row r="22" spans="1:4" x14ac:dyDescent="0.3">
      <c r="A22" s="28">
        <v>43908</v>
      </c>
      <c r="B22" s="6">
        <v>1</v>
      </c>
      <c r="C22" s="6" t="s">
        <v>26</v>
      </c>
      <c r="D22" s="31">
        <v>100000</v>
      </c>
    </row>
    <row r="23" spans="1:4" x14ac:dyDescent="0.3">
      <c r="A23" s="28">
        <v>43909</v>
      </c>
      <c r="B23" s="6">
        <v>1</v>
      </c>
      <c r="C23" s="6" t="s">
        <v>26</v>
      </c>
      <c r="D23" s="31">
        <v>100000</v>
      </c>
    </row>
    <row r="24" spans="1:4" x14ac:dyDescent="0.3">
      <c r="A24" s="28">
        <v>43910</v>
      </c>
      <c r="B24" s="6">
        <v>1</v>
      </c>
      <c r="C24" s="6" t="s">
        <v>26</v>
      </c>
      <c r="D24" s="31">
        <v>100000</v>
      </c>
    </row>
    <row r="25" spans="1:4" x14ac:dyDescent="0.3">
      <c r="A25" s="28">
        <v>43913</v>
      </c>
      <c r="B25" s="6">
        <v>1</v>
      </c>
      <c r="C25" s="6" t="s">
        <v>26</v>
      </c>
      <c r="D25" s="31">
        <v>100000</v>
      </c>
    </row>
    <row r="26" spans="1:4" x14ac:dyDescent="0.3">
      <c r="A26" s="28">
        <v>43914</v>
      </c>
      <c r="B26" s="6">
        <v>1</v>
      </c>
      <c r="C26" s="6" t="s">
        <v>26</v>
      </c>
      <c r="D26" s="31">
        <v>100000</v>
      </c>
    </row>
    <row r="27" spans="1:4" x14ac:dyDescent="0.3">
      <c r="A27" s="28">
        <v>43915</v>
      </c>
      <c r="B27" s="6">
        <v>1</v>
      </c>
      <c r="C27" s="6" t="s">
        <v>26</v>
      </c>
      <c r="D27" s="31">
        <v>100000</v>
      </c>
    </row>
    <row r="28" spans="1:4" x14ac:dyDescent="0.3">
      <c r="A28" s="28">
        <v>43916</v>
      </c>
      <c r="B28" s="6">
        <v>1</v>
      </c>
      <c r="C28" s="6" t="s">
        <v>26</v>
      </c>
      <c r="D28" s="31">
        <v>100000</v>
      </c>
    </row>
    <row r="29" spans="1:4" x14ac:dyDescent="0.3">
      <c r="A29" s="28">
        <v>43917</v>
      </c>
      <c r="B29" s="6">
        <v>1</v>
      </c>
      <c r="C29" s="6" t="s">
        <v>26</v>
      </c>
      <c r="D29" s="31">
        <v>100000</v>
      </c>
    </row>
    <row r="30" spans="1:4" x14ac:dyDescent="0.3">
      <c r="A30" s="28">
        <v>43920</v>
      </c>
      <c r="B30" s="6">
        <v>1</v>
      </c>
      <c r="C30" s="6" t="s">
        <v>26</v>
      </c>
      <c r="D30" s="31">
        <v>100000</v>
      </c>
    </row>
    <row r="31" spans="1:4" x14ac:dyDescent="0.3">
      <c r="A31" s="28">
        <v>43921</v>
      </c>
      <c r="B31" s="6">
        <v>1</v>
      </c>
      <c r="C31" s="6" t="s">
        <v>26</v>
      </c>
      <c r="D31" s="31">
        <v>100000</v>
      </c>
    </row>
    <row r="32" spans="1:4" x14ac:dyDescent="0.3">
      <c r="A32" s="28">
        <v>43922</v>
      </c>
      <c r="B32" s="6">
        <v>1</v>
      </c>
      <c r="C32" s="6" t="s">
        <v>26</v>
      </c>
      <c r="D32" s="31">
        <v>100000</v>
      </c>
    </row>
    <row r="33" spans="1:4" x14ac:dyDescent="0.3">
      <c r="A33" s="28">
        <v>43923</v>
      </c>
      <c r="B33" s="6">
        <v>1</v>
      </c>
      <c r="C33" s="6" t="s">
        <v>26</v>
      </c>
      <c r="D33" s="31">
        <v>100000</v>
      </c>
    </row>
    <row r="34" spans="1:4" x14ac:dyDescent="0.3">
      <c r="A34" s="28">
        <v>43924</v>
      </c>
      <c r="B34" s="6">
        <v>1</v>
      </c>
      <c r="C34" s="6" t="s">
        <v>26</v>
      </c>
      <c r="D34" s="31">
        <v>100000</v>
      </c>
    </row>
    <row r="35" spans="1:4" x14ac:dyDescent="0.3">
      <c r="A35" s="28">
        <v>43927</v>
      </c>
      <c r="B35" s="6">
        <v>1</v>
      </c>
      <c r="C35" s="6" t="s">
        <v>26</v>
      </c>
      <c r="D35" s="31">
        <v>100000</v>
      </c>
    </row>
    <row r="36" spans="1:4" x14ac:dyDescent="0.3">
      <c r="A36" s="28">
        <v>43928</v>
      </c>
      <c r="B36" s="6">
        <v>1</v>
      </c>
      <c r="C36" s="6" t="s">
        <v>26</v>
      </c>
      <c r="D36" s="31">
        <v>100000</v>
      </c>
    </row>
    <row r="37" spans="1:4" x14ac:dyDescent="0.3">
      <c r="A37" s="28">
        <v>43929</v>
      </c>
      <c r="B37" s="6">
        <v>1</v>
      </c>
      <c r="C37" s="6" t="s">
        <v>26</v>
      </c>
      <c r="D37" s="31">
        <v>100000</v>
      </c>
    </row>
    <row r="38" spans="1:4" x14ac:dyDescent="0.3">
      <c r="A38" s="28">
        <v>43930</v>
      </c>
      <c r="B38" s="6">
        <v>1</v>
      </c>
      <c r="C38" s="6" t="s">
        <v>26</v>
      </c>
      <c r="D38" s="31">
        <v>100000</v>
      </c>
    </row>
    <row r="39" spans="1:4" x14ac:dyDescent="0.3">
      <c r="A39" s="28">
        <v>43934</v>
      </c>
      <c r="B39" s="6">
        <v>1</v>
      </c>
      <c r="C39" s="6" t="s">
        <v>26</v>
      </c>
      <c r="D39" s="31">
        <v>100000</v>
      </c>
    </row>
    <row r="40" spans="1:4" x14ac:dyDescent="0.3">
      <c r="A40" s="28">
        <v>43935</v>
      </c>
      <c r="B40" s="6">
        <v>1</v>
      </c>
      <c r="C40" s="6" t="s">
        <v>26</v>
      </c>
      <c r="D40" s="31">
        <v>100000</v>
      </c>
    </row>
    <row r="41" spans="1:4" x14ac:dyDescent="0.3">
      <c r="A41" s="28">
        <v>43936</v>
      </c>
      <c r="B41" s="6">
        <v>1</v>
      </c>
      <c r="C41" s="6" t="s">
        <v>26</v>
      </c>
      <c r="D41" s="31">
        <v>100000</v>
      </c>
    </row>
    <row r="42" spans="1:4" x14ac:dyDescent="0.3">
      <c r="A42" s="28">
        <v>43937</v>
      </c>
      <c r="B42" s="6">
        <v>1</v>
      </c>
      <c r="C42" s="6" t="s">
        <v>26</v>
      </c>
      <c r="D42" s="31">
        <v>100000</v>
      </c>
    </row>
    <row r="43" spans="1:4" x14ac:dyDescent="0.3">
      <c r="A43" s="28">
        <v>43938</v>
      </c>
      <c r="B43" s="6">
        <v>1</v>
      </c>
      <c r="C43" s="6" t="s">
        <v>26</v>
      </c>
      <c r="D43" s="31">
        <v>100000</v>
      </c>
    </row>
    <row r="44" spans="1:4" x14ac:dyDescent="0.3">
      <c r="A44" s="28">
        <v>43941</v>
      </c>
      <c r="B44" s="6">
        <v>1</v>
      </c>
      <c r="C44" s="6" t="s">
        <v>26</v>
      </c>
      <c r="D44" s="31">
        <v>100000</v>
      </c>
    </row>
    <row r="45" spans="1:4" x14ac:dyDescent="0.3">
      <c r="A45" s="28">
        <v>43942</v>
      </c>
      <c r="B45" s="6">
        <v>1</v>
      </c>
      <c r="C45" s="6" t="s">
        <v>26</v>
      </c>
      <c r="D45" s="31">
        <v>100000</v>
      </c>
    </row>
    <row r="46" spans="1:4" x14ac:dyDescent="0.3">
      <c r="A46" s="28">
        <v>43943</v>
      </c>
      <c r="B46" s="6">
        <v>1</v>
      </c>
      <c r="C46" s="6" t="s">
        <v>26</v>
      </c>
      <c r="D46" s="31">
        <v>100000</v>
      </c>
    </row>
    <row r="47" spans="1:4" x14ac:dyDescent="0.3">
      <c r="A47" s="28">
        <v>43944</v>
      </c>
      <c r="B47" s="6">
        <v>1</v>
      </c>
      <c r="C47" s="6" t="s">
        <v>26</v>
      </c>
      <c r="D47" s="31">
        <v>100000</v>
      </c>
    </row>
    <row r="48" spans="1:4" x14ac:dyDescent="0.3">
      <c r="A48" s="28">
        <v>43945</v>
      </c>
      <c r="B48" s="6">
        <v>1</v>
      </c>
      <c r="C48" s="6" t="s">
        <v>26</v>
      </c>
      <c r="D48" s="31">
        <v>100000</v>
      </c>
    </row>
    <row r="49" spans="1:4" x14ac:dyDescent="0.3">
      <c r="A49" s="28">
        <v>43948</v>
      </c>
      <c r="B49" s="6">
        <v>1</v>
      </c>
      <c r="C49" s="6" t="s">
        <v>26</v>
      </c>
      <c r="D49" s="31">
        <v>100000</v>
      </c>
    </row>
    <row r="50" spans="1:4" x14ac:dyDescent="0.3">
      <c r="A50" s="28">
        <v>43949</v>
      </c>
      <c r="B50" s="6">
        <v>1</v>
      </c>
      <c r="C50" s="6" t="s">
        <v>26</v>
      </c>
      <c r="D50" s="31">
        <v>100000</v>
      </c>
    </row>
    <row r="51" spans="1:4" x14ac:dyDescent="0.3">
      <c r="A51" s="28">
        <v>43950</v>
      </c>
      <c r="B51" s="6">
        <v>1</v>
      </c>
      <c r="C51" s="6" t="s">
        <v>26</v>
      </c>
      <c r="D51" s="31">
        <v>100000</v>
      </c>
    </row>
    <row r="52" spans="1:4" x14ac:dyDescent="0.3">
      <c r="A52" s="28">
        <v>43951</v>
      </c>
      <c r="B52" s="6">
        <v>1</v>
      </c>
      <c r="C52" s="6" t="s">
        <v>26</v>
      </c>
      <c r="D52" s="31">
        <v>100000</v>
      </c>
    </row>
    <row r="53" spans="1:4" x14ac:dyDescent="0.3">
      <c r="A53" s="28">
        <v>43952</v>
      </c>
      <c r="B53" s="6">
        <v>1</v>
      </c>
      <c r="C53" s="6" t="s">
        <v>26</v>
      </c>
      <c r="D53" s="31">
        <v>100000</v>
      </c>
    </row>
    <row r="54" spans="1:4" x14ac:dyDescent="0.3">
      <c r="A54" s="28">
        <v>43955</v>
      </c>
      <c r="B54" s="6">
        <v>1</v>
      </c>
      <c r="C54" s="6" t="s">
        <v>26</v>
      </c>
      <c r="D54" s="31">
        <v>100000</v>
      </c>
    </row>
    <row r="55" spans="1:4" x14ac:dyDescent="0.3">
      <c r="A55" s="28">
        <v>43956</v>
      </c>
      <c r="B55" s="6">
        <v>1</v>
      </c>
      <c r="C55" s="6" t="s">
        <v>26</v>
      </c>
      <c r="D55" s="31">
        <v>100000</v>
      </c>
    </row>
    <row r="56" spans="1:4" x14ac:dyDescent="0.3">
      <c r="A56" s="28">
        <v>43957</v>
      </c>
      <c r="B56" s="6">
        <v>1</v>
      </c>
      <c r="C56" s="6" t="s">
        <v>26</v>
      </c>
      <c r="D56" s="31">
        <v>100000</v>
      </c>
    </row>
    <row r="57" spans="1:4" x14ac:dyDescent="0.3">
      <c r="A57" s="28">
        <v>43958</v>
      </c>
      <c r="B57" s="6">
        <v>1</v>
      </c>
      <c r="C57" s="6" t="s">
        <v>26</v>
      </c>
      <c r="D57" s="31">
        <v>100000</v>
      </c>
    </row>
    <row r="58" spans="1:4" x14ac:dyDescent="0.3">
      <c r="A58" s="28">
        <v>43959</v>
      </c>
      <c r="B58" s="6">
        <v>1</v>
      </c>
      <c r="C58" s="6" t="s">
        <v>26</v>
      </c>
      <c r="D58" s="31">
        <v>100000</v>
      </c>
    </row>
    <row r="59" spans="1:4" x14ac:dyDescent="0.3">
      <c r="A59" s="28">
        <v>43962</v>
      </c>
      <c r="B59" s="6">
        <v>1</v>
      </c>
      <c r="C59" s="6" t="s">
        <v>26</v>
      </c>
      <c r="D59" s="31">
        <v>100000</v>
      </c>
    </row>
    <row r="60" spans="1:4" x14ac:dyDescent="0.3">
      <c r="A60" s="28">
        <v>43963</v>
      </c>
      <c r="B60" s="6">
        <v>1</v>
      </c>
      <c r="C60" s="6" t="s">
        <v>26</v>
      </c>
      <c r="D60" s="31">
        <v>100000</v>
      </c>
    </row>
    <row r="61" spans="1:4" x14ac:dyDescent="0.3">
      <c r="A61" s="28">
        <v>43964</v>
      </c>
      <c r="B61" s="6">
        <v>1</v>
      </c>
      <c r="C61" s="6" t="s">
        <v>26</v>
      </c>
      <c r="D61" s="31">
        <v>100000</v>
      </c>
    </row>
    <row r="62" spans="1:4" x14ac:dyDescent="0.3">
      <c r="A62" s="28">
        <v>43965</v>
      </c>
      <c r="B62" s="6">
        <v>1</v>
      </c>
      <c r="C62" s="6" t="s">
        <v>26</v>
      </c>
      <c r="D62" s="31">
        <v>100000</v>
      </c>
    </row>
    <row r="63" spans="1:4" x14ac:dyDescent="0.3">
      <c r="A63" s="28">
        <v>43966</v>
      </c>
      <c r="B63" s="6">
        <v>1</v>
      </c>
      <c r="C63" s="6" t="s">
        <v>26</v>
      </c>
      <c r="D63" s="31">
        <v>100000</v>
      </c>
    </row>
    <row r="64" spans="1:4" x14ac:dyDescent="0.3">
      <c r="A64" s="28">
        <v>43969</v>
      </c>
      <c r="B64" s="6">
        <v>1</v>
      </c>
      <c r="C64" s="6" t="s">
        <v>26</v>
      </c>
      <c r="D64" s="31">
        <v>100000</v>
      </c>
    </row>
    <row r="65" spans="1:4" x14ac:dyDescent="0.3">
      <c r="A65" s="28">
        <v>43970</v>
      </c>
      <c r="B65" s="6">
        <v>1</v>
      </c>
      <c r="C65" s="6" t="s">
        <v>26</v>
      </c>
      <c r="D65" s="31">
        <v>100000</v>
      </c>
    </row>
    <row r="66" spans="1:4" x14ac:dyDescent="0.3">
      <c r="A66" s="28">
        <v>43971</v>
      </c>
      <c r="B66" s="6">
        <v>1</v>
      </c>
      <c r="C66" s="6" t="s">
        <v>26</v>
      </c>
      <c r="D66" s="31">
        <v>100000</v>
      </c>
    </row>
    <row r="67" spans="1:4" x14ac:dyDescent="0.3">
      <c r="A67" s="28">
        <v>43972</v>
      </c>
      <c r="B67" s="6">
        <v>1</v>
      </c>
      <c r="C67" s="6" t="s">
        <v>26</v>
      </c>
      <c r="D67" s="31">
        <v>100000</v>
      </c>
    </row>
    <row r="68" spans="1:4" x14ac:dyDescent="0.3">
      <c r="A68" s="28">
        <v>43973</v>
      </c>
      <c r="B68" s="6">
        <v>1</v>
      </c>
      <c r="C68" s="6" t="s">
        <v>26</v>
      </c>
      <c r="D68" s="31">
        <v>100000</v>
      </c>
    </row>
    <row r="69" spans="1:4" x14ac:dyDescent="0.3">
      <c r="A69" s="28">
        <v>43977</v>
      </c>
      <c r="B69" s="6">
        <v>1</v>
      </c>
      <c r="C69" s="6" t="s">
        <v>26</v>
      </c>
      <c r="D69" s="31">
        <v>100000</v>
      </c>
    </row>
    <row r="70" spans="1:4" x14ac:dyDescent="0.3">
      <c r="A70" s="28">
        <v>43978</v>
      </c>
      <c r="B70" s="6">
        <v>1</v>
      </c>
      <c r="C70" s="6" t="s">
        <v>26</v>
      </c>
      <c r="D70" s="31">
        <v>100000</v>
      </c>
    </row>
    <row r="71" spans="1:4" x14ac:dyDescent="0.3">
      <c r="A71" s="28">
        <v>43979</v>
      </c>
      <c r="B71" s="6">
        <v>1</v>
      </c>
      <c r="C71" s="6" t="s">
        <v>26</v>
      </c>
      <c r="D71" s="31">
        <v>100000</v>
      </c>
    </row>
    <row r="72" spans="1:4" x14ac:dyDescent="0.3">
      <c r="A72" s="28">
        <v>43980</v>
      </c>
      <c r="B72" s="6">
        <v>1</v>
      </c>
      <c r="C72" s="6" t="s">
        <v>26</v>
      </c>
      <c r="D72" s="31">
        <v>100000</v>
      </c>
    </row>
    <row r="73" spans="1:4" x14ac:dyDescent="0.3">
      <c r="A73" s="28">
        <v>43983</v>
      </c>
      <c r="B73" s="6">
        <v>1</v>
      </c>
      <c r="C73" s="6" t="s">
        <v>26</v>
      </c>
      <c r="D73" s="31">
        <v>100000</v>
      </c>
    </row>
    <row r="74" spans="1:4" x14ac:dyDescent="0.3">
      <c r="A74" s="28">
        <v>43984</v>
      </c>
      <c r="B74" s="6">
        <v>1</v>
      </c>
      <c r="C74" s="6" t="s">
        <v>26</v>
      </c>
      <c r="D74" s="31">
        <v>100000</v>
      </c>
    </row>
    <row r="75" spans="1:4" x14ac:dyDescent="0.3">
      <c r="A75" s="28">
        <v>43985</v>
      </c>
      <c r="B75" s="6">
        <v>1</v>
      </c>
      <c r="C75" s="6" t="s">
        <v>26</v>
      </c>
      <c r="D75" s="31">
        <v>100000</v>
      </c>
    </row>
    <row r="76" spans="1:4" x14ac:dyDescent="0.3">
      <c r="A76" s="28">
        <v>43986</v>
      </c>
      <c r="B76" s="6">
        <v>1</v>
      </c>
      <c r="C76" s="6" t="s">
        <v>26</v>
      </c>
      <c r="D76" s="31">
        <v>100000</v>
      </c>
    </row>
    <row r="77" spans="1:4" x14ac:dyDescent="0.3">
      <c r="A77" s="28">
        <v>43987</v>
      </c>
      <c r="B77" s="6">
        <v>1</v>
      </c>
      <c r="C77" s="6" t="s">
        <v>26</v>
      </c>
      <c r="D77" s="31">
        <v>100000</v>
      </c>
    </row>
    <row r="78" spans="1:4" x14ac:dyDescent="0.3">
      <c r="A78" s="28">
        <v>43990</v>
      </c>
      <c r="B78" s="6">
        <v>1</v>
      </c>
      <c r="C78" s="6" t="s">
        <v>26</v>
      </c>
      <c r="D78" s="31">
        <v>100000</v>
      </c>
    </row>
    <row r="79" spans="1:4" x14ac:dyDescent="0.3">
      <c r="A79" s="28">
        <v>43991</v>
      </c>
      <c r="B79" s="6">
        <v>1</v>
      </c>
      <c r="C79" s="6" t="s">
        <v>26</v>
      </c>
      <c r="D79" s="31">
        <v>100000</v>
      </c>
    </row>
    <row r="80" spans="1:4" x14ac:dyDescent="0.3">
      <c r="A80" s="28">
        <v>43992</v>
      </c>
      <c r="B80" s="6">
        <v>1</v>
      </c>
      <c r="C80" s="6" t="s">
        <v>26</v>
      </c>
      <c r="D80" s="31">
        <v>100000</v>
      </c>
    </row>
    <row r="81" spans="1:4" x14ac:dyDescent="0.3">
      <c r="A81" s="28">
        <v>43993</v>
      </c>
      <c r="B81" s="6">
        <v>1</v>
      </c>
      <c r="C81" s="6" t="s">
        <v>26</v>
      </c>
      <c r="D81" s="31">
        <v>100000</v>
      </c>
    </row>
    <row r="82" spans="1:4" x14ac:dyDescent="0.3">
      <c r="A82" s="28">
        <v>43994</v>
      </c>
      <c r="B82" s="6">
        <v>1</v>
      </c>
      <c r="C82" s="6" t="s">
        <v>26</v>
      </c>
      <c r="D82" s="31">
        <v>100000</v>
      </c>
    </row>
    <row r="83" spans="1:4" x14ac:dyDescent="0.3">
      <c r="A83" s="28">
        <v>43997</v>
      </c>
      <c r="B83" s="6">
        <v>1</v>
      </c>
      <c r="C83" s="6" t="s">
        <v>26</v>
      </c>
      <c r="D83" s="31">
        <v>100000</v>
      </c>
    </row>
    <row r="84" spans="1:4" x14ac:dyDescent="0.3">
      <c r="A84" s="28">
        <v>43998</v>
      </c>
      <c r="B84" s="6">
        <v>1</v>
      </c>
      <c r="C84" s="6" t="s">
        <v>26</v>
      </c>
      <c r="D84" s="31">
        <v>100000</v>
      </c>
    </row>
    <row r="85" spans="1:4" x14ac:dyDescent="0.3">
      <c r="A85" s="28">
        <v>43999</v>
      </c>
      <c r="B85" s="6">
        <v>1</v>
      </c>
      <c r="C85" s="6" t="s">
        <v>26</v>
      </c>
      <c r="D85" s="31">
        <v>100000</v>
      </c>
    </row>
    <row r="86" spans="1:4" x14ac:dyDescent="0.3">
      <c r="A86" s="28">
        <v>44000</v>
      </c>
      <c r="B86" s="6">
        <v>1</v>
      </c>
      <c r="C86" s="6" t="s">
        <v>26</v>
      </c>
      <c r="D86" s="31">
        <v>100000</v>
      </c>
    </row>
    <row r="87" spans="1:4" x14ac:dyDescent="0.3">
      <c r="A87" s="28">
        <v>44001</v>
      </c>
      <c r="B87" s="6">
        <v>1</v>
      </c>
      <c r="C87" s="6" t="s">
        <v>26</v>
      </c>
      <c r="D87" s="31">
        <v>100000</v>
      </c>
    </row>
    <row r="88" spans="1:4" x14ac:dyDescent="0.3">
      <c r="A88" s="28">
        <v>44004</v>
      </c>
      <c r="B88" s="6">
        <v>1</v>
      </c>
      <c r="C88" s="6" t="s">
        <v>26</v>
      </c>
      <c r="D88" s="31">
        <v>100000</v>
      </c>
    </row>
    <row r="89" spans="1:4" x14ac:dyDescent="0.3">
      <c r="A89" s="28">
        <v>44005</v>
      </c>
      <c r="B89" s="6">
        <v>1</v>
      </c>
      <c r="C89" s="6" t="s">
        <v>26</v>
      </c>
      <c r="D89" s="31">
        <v>100000</v>
      </c>
    </row>
    <row r="90" spans="1:4" x14ac:dyDescent="0.3">
      <c r="A90" s="28">
        <v>44006</v>
      </c>
      <c r="B90" s="6">
        <v>1</v>
      </c>
      <c r="C90" s="6" t="s">
        <v>26</v>
      </c>
      <c r="D90" s="31">
        <v>100000</v>
      </c>
    </row>
    <row r="91" spans="1:4" x14ac:dyDescent="0.3">
      <c r="A91" s="28">
        <v>44007</v>
      </c>
      <c r="B91" s="6">
        <v>1</v>
      </c>
      <c r="C91" s="6" t="s">
        <v>26</v>
      </c>
      <c r="D91" s="31">
        <v>100000</v>
      </c>
    </row>
    <row r="92" spans="1:4" x14ac:dyDescent="0.3">
      <c r="A92" s="28">
        <v>44008</v>
      </c>
      <c r="B92" s="6">
        <v>1</v>
      </c>
      <c r="C92" s="6" t="s">
        <v>26</v>
      </c>
      <c r="D92" s="31">
        <v>100000</v>
      </c>
    </row>
    <row r="93" spans="1:4" x14ac:dyDescent="0.3">
      <c r="A93" s="28">
        <v>44011</v>
      </c>
      <c r="B93" s="6">
        <v>1</v>
      </c>
      <c r="C93" s="6" t="s">
        <v>26</v>
      </c>
      <c r="D93" s="31">
        <v>100000</v>
      </c>
    </row>
    <row r="94" spans="1:4" x14ac:dyDescent="0.3">
      <c r="A94" s="28">
        <v>44012</v>
      </c>
      <c r="B94" s="6">
        <v>1</v>
      </c>
      <c r="C94" s="6" t="s">
        <v>26</v>
      </c>
      <c r="D94" s="31">
        <v>100000</v>
      </c>
    </row>
    <row r="95" spans="1:4" x14ac:dyDescent="0.3">
      <c r="A95" s="28">
        <v>44013</v>
      </c>
      <c r="B95" s="6">
        <v>1</v>
      </c>
      <c r="C95" s="6" t="s">
        <v>26</v>
      </c>
      <c r="D95" s="31">
        <v>100000</v>
      </c>
    </row>
    <row r="96" spans="1:4" x14ac:dyDescent="0.3">
      <c r="A96" s="28">
        <v>44014</v>
      </c>
      <c r="B96" s="6">
        <v>1</v>
      </c>
      <c r="C96" s="6" t="s">
        <v>26</v>
      </c>
      <c r="D96" s="31">
        <v>100000</v>
      </c>
    </row>
    <row r="97" spans="1:4" x14ac:dyDescent="0.3">
      <c r="A97" s="28">
        <v>44018</v>
      </c>
      <c r="B97" s="6">
        <v>1</v>
      </c>
      <c r="C97" s="6" t="s">
        <v>26</v>
      </c>
      <c r="D97" s="31">
        <v>100000</v>
      </c>
    </row>
    <row r="98" spans="1:4" x14ac:dyDescent="0.3">
      <c r="A98" s="28">
        <v>44019</v>
      </c>
      <c r="B98" s="6">
        <v>1</v>
      </c>
      <c r="C98" s="6" t="s">
        <v>26</v>
      </c>
      <c r="D98" s="31">
        <v>100000</v>
      </c>
    </row>
    <row r="99" spans="1:4" x14ac:dyDescent="0.3">
      <c r="A99" s="28">
        <v>44020</v>
      </c>
      <c r="B99" s="6">
        <v>1</v>
      </c>
      <c r="C99" s="6" t="s">
        <v>26</v>
      </c>
      <c r="D99" s="31">
        <v>100000</v>
      </c>
    </row>
    <row r="100" spans="1:4" x14ac:dyDescent="0.3">
      <c r="A100" s="28">
        <v>44021</v>
      </c>
      <c r="B100" s="6">
        <v>1</v>
      </c>
      <c r="C100" s="6" t="s">
        <v>26</v>
      </c>
      <c r="D100" s="31">
        <v>100000</v>
      </c>
    </row>
    <row r="101" spans="1:4" x14ac:dyDescent="0.3">
      <c r="A101" s="28">
        <v>44022</v>
      </c>
      <c r="B101" s="6">
        <v>1</v>
      </c>
      <c r="C101" s="6" t="s">
        <v>26</v>
      </c>
      <c r="D101" s="31">
        <v>100000</v>
      </c>
    </row>
    <row r="102" spans="1:4" x14ac:dyDescent="0.3">
      <c r="A102" s="28">
        <v>43880</v>
      </c>
      <c r="B102" s="6">
        <v>2</v>
      </c>
      <c r="C102" s="6" t="s">
        <v>39</v>
      </c>
      <c r="D102" s="31">
        <v>81940.002000000008</v>
      </c>
    </row>
    <row r="103" spans="1:4" x14ac:dyDescent="0.3">
      <c r="A103" s="28">
        <v>43881</v>
      </c>
      <c r="B103" s="6">
        <v>2</v>
      </c>
      <c r="C103" s="6" t="s">
        <v>39</v>
      </c>
      <c r="D103" s="31">
        <v>81140</v>
      </c>
    </row>
    <row r="104" spans="1:4" x14ac:dyDescent="0.3">
      <c r="A104" s="28">
        <v>43882</v>
      </c>
      <c r="B104" s="6">
        <v>2</v>
      </c>
      <c r="C104" s="6" t="s">
        <v>39</v>
      </c>
      <c r="D104" s="31">
        <v>80059.997999999992</v>
      </c>
    </row>
    <row r="105" spans="1:4" x14ac:dyDescent="0.3">
      <c r="A105" s="28">
        <v>43885</v>
      </c>
      <c r="B105" s="6">
        <v>2</v>
      </c>
      <c r="C105" s="6" t="s">
        <v>39</v>
      </c>
      <c r="D105" s="31">
        <v>77480.004000000001</v>
      </c>
    </row>
    <row r="106" spans="1:4" x14ac:dyDescent="0.3">
      <c r="A106" s="28">
        <v>43886</v>
      </c>
      <c r="B106" s="6">
        <v>2</v>
      </c>
      <c r="C106" s="6" t="s">
        <v>39</v>
      </c>
      <c r="D106" s="31">
        <v>75080.001999999993</v>
      </c>
    </row>
    <row r="107" spans="1:4" x14ac:dyDescent="0.3">
      <c r="A107" s="28">
        <v>43887</v>
      </c>
      <c r="B107" s="6">
        <v>2</v>
      </c>
      <c r="C107" s="6" t="s">
        <v>39</v>
      </c>
      <c r="D107" s="31">
        <v>74519.995999999999</v>
      </c>
    </row>
    <row r="108" spans="1:4" x14ac:dyDescent="0.3">
      <c r="A108" s="28">
        <v>43888</v>
      </c>
      <c r="B108" s="6">
        <v>2</v>
      </c>
      <c r="C108" s="6" t="s">
        <v>39</v>
      </c>
      <c r="D108" s="31">
        <v>78019.995999999999</v>
      </c>
    </row>
    <row r="109" spans="1:4" x14ac:dyDescent="0.3">
      <c r="A109" s="28">
        <v>43889</v>
      </c>
      <c r="B109" s="6">
        <v>2</v>
      </c>
      <c r="C109" s="6" t="s">
        <v>39</v>
      </c>
      <c r="D109" s="31">
        <v>78419.998000000007</v>
      </c>
    </row>
    <row r="110" spans="1:4" x14ac:dyDescent="0.3">
      <c r="A110" s="28">
        <v>43892</v>
      </c>
      <c r="B110" s="6">
        <v>2</v>
      </c>
      <c r="C110" s="6" t="s">
        <v>39</v>
      </c>
      <c r="D110" s="31">
        <v>81500</v>
      </c>
    </row>
    <row r="111" spans="1:4" x14ac:dyDescent="0.3">
      <c r="A111" s="28">
        <v>43893</v>
      </c>
      <c r="B111" s="6">
        <v>2</v>
      </c>
      <c r="C111" s="6" t="s">
        <v>39</v>
      </c>
      <c r="D111" s="31">
        <v>78519.995999999999</v>
      </c>
    </row>
    <row r="112" spans="1:4" x14ac:dyDescent="0.3">
      <c r="A112" s="28">
        <v>43894</v>
      </c>
      <c r="B112" s="6">
        <v>2</v>
      </c>
      <c r="C112" s="6" t="s">
        <v>39</v>
      </c>
      <c r="D112" s="31">
        <v>79580.001999999993</v>
      </c>
    </row>
    <row r="113" spans="1:4" x14ac:dyDescent="0.3">
      <c r="A113" s="28">
        <v>43895</v>
      </c>
      <c r="B113" s="6">
        <v>2</v>
      </c>
      <c r="C113" s="6" t="s">
        <v>39</v>
      </c>
      <c r="D113" s="31">
        <v>77919.998000000007</v>
      </c>
    </row>
    <row r="114" spans="1:4" x14ac:dyDescent="0.3">
      <c r="A114" s="28">
        <v>43896</v>
      </c>
      <c r="B114" s="6">
        <v>2</v>
      </c>
      <c r="C114" s="6" t="s">
        <v>39</v>
      </c>
      <c r="D114" s="31">
        <v>78320</v>
      </c>
    </row>
    <row r="115" spans="1:4" x14ac:dyDescent="0.3">
      <c r="A115" s="28">
        <v>43899</v>
      </c>
      <c r="B115" s="6">
        <v>2</v>
      </c>
      <c r="C115" s="6" t="s">
        <v>39</v>
      </c>
      <c r="D115" s="31">
        <v>74580.001999999993</v>
      </c>
    </row>
    <row r="116" spans="1:4" x14ac:dyDescent="0.3">
      <c r="A116" s="28">
        <v>43900</v>
      </c>
      <c r="B116" s="6">
        <v>2</v>
      </c>
      <c r="C116" s="6" t="s">
        <v>39</v>
      </c>
      <c r="D116" s="31">
        <v>77940.002000000008</v>
      </c>
    </row>
    <row r="117" spans="1:4" x14ac:dyDescent="0.3">
      <c r="A117" s="28">
        <v>43901</v>
      </c>
      <c r="B117" s="6">
        <v>2</v>
      </c>
      <c r="C117" s="6" t="s">
        <v>39</v>
      </c>
      <c r="D117" s="31">
        <v>73480.004000000001</v>
      </c>
    </row>
    <row r="118" spans="1:4" x14ac:dyDescent="0.3">
      <c r="A118" s="28">
        <v>43902</v>
      </c>
      <c r="B118" s="6">
        <v>2</v>
      </c>
      <c r="C118" s="6" t="s">
        <v>39</v>
      </c>
      <c r="D118" s="31">
        <v>73599.997999999992</v>
      </c>
    </row>
    <row r="119" spans="1:4" x14ac:dyDescent="0.3">
      <c r="A119" s="28">
        <v>43903</v>
      </c>
      <c r="B119" s="6">
        <v>2</v>
      </c>
      <c r="C119" s="6" t="s">
        <v>39</v>
      </c>
      <c r="D119" s="31">
        <v>72199.995999999999</v>
      </c>
    </row>
    <row r="120" spans="1:4" x14ac:dyDescent="0.3">
      <c r="A120" s="28">
        <v>43906</v>
      </c>
      <c r="B120" s="6">
        <v>2</v>
      </c>
      <c r="C120" s="6" t="s">
        <v>39</v>
      </c>
      <c r="D120" s="31">
        <v>63000</v>
      </c>
    </row>
    <row r="121" spans="1:4" x14ac:dyDescent="0.3">
      <c r="A121" s="28">
        <v>43907</v>
      </c>
      <c r="B121" s="6">
        <v>2</v>
      </c>
      <c r="C121" s="6" t="s">
        <v>39</v>
      </c>
      <c r="D121" s="31">
        <v>64620.002</v>
      </c>
    </row>
    <row r="122" spans="1:4" x14ac:dyDescent="0.3">
      <c r="A122" s="28">
        <v>43908</v>
      </c>
      <c r="B122" s="6">
        <v>2</v>
      </c>
      <c r="C122" s="6" t="s">
        <v>39</v>
      </c>
      <c r="D122" s="31">
        <v>55419.998</v>
      </c>
    </row>
    <row r="123" spans="1:4" x14ac:dyDescent="0.3">
      <c r="A123" s="28">
        <v>43909</v>
      </c>
      <c r="B123" s="6">
        <v>2</v>
      </c>
      <c r="C123" s="6" t="s">
        <v>39</v>
      </c>
      <c r="D123" s="31">
        <v>60000</v>
      </c>
    </row>
    <row r="124" spans="1:4" x14ac:dyDescent="0.3">
      <c r="A124" s="28">
        <v>43910</v>
      </c>
      <c r="B124" s="6">
        <v>2</v>
      </c>
      <c r="C124" s="6" t="s">
        <v>39</v>
      </c>
      <c r="D124" s="31">
        <v>59279.998</v>
      </c>
    </row>
    <row r="125" spans="1:4" x14ac:dyDescent="0.3">
      <c r="A125" s="28">
        <v>43913</v>
      </c>
      <c r="B125" s="6">
        <v>2</v>
      </c>
      <c r="C125" s="6" t="s">
        <v>39</v>
      </c>
      <c r="D125" s="31">
        <v>68279.998000000007</v>
      </c>
    </row>
    <row r="126" spans="1:4" x14ac:dyDescent="0.3">
      <c r="A126" s="28">
        <v>43914</v>
      </c>
      <c r="B126" s="6">
        <v>2</v>
      </c>
      <c r="C126" s="6" t="s">
        <v>39</v>
      </c>
      <c r="D126" s="31">
        <v>68300.004000000001</v>
      </c>
    </row>
    <row r="127" spans="1:4" x14ac:dyDescent="0.3">
      <c r="A127" s="28">
        <v>43915</v>
      </c>
      <c r="B127" s="6">
        <v>2</v>
      </c>
      <c r="C127" s="6" t="s">
        <v>39</v>
      </c>
      <c r="D127" s="31">
        <v>68059.997999999992</v>
      </c>
    </row>
    <row r="128" spans="1:4" x14ac:dyDescent="0.3">
      <c r="A128" s="28">
        <v>43916</v>
      </c>
      <c r="B128" s="6">
        <v>2</v>
      </c>
      <c r="C128" s="6" t="s">
        <v>39</v>
      </c>
      <c r="D128" s="31">
        <v>73320</v>
      </c>
    </row>
    <row r="129" spans="1:4" x14ac:dyDescent="0.3">
      <c r="A129" s="28">
        <v>43917</v>
      </c>
      <c r="B129" s="6">
        <v>2</v>
      </c>
      <c r="C129" s="6" t="s">
        <v>39</v>
      </c>
      <c r="D129" s="31">
        <v>72519.995999999999</v>
      </c>
    </row>
    <row r="130" spans="1:4" x14ac:dyDescent="0.3">
      <c r="A130" s="28">
        <v>43920</v>
      </c>
      <c r="B130" s="6">
        <v>2</v>
      </c>
      <c r="C130" s="6" t="s">
        <v>39</v>
      </c>
      <c r="D130" s="31">
        <v>73000</v>
      </c>
    </row>
    <row r="131" spans="1:4" x14ac:dyDescent="0.3">
      <c r="A131" s="28">
        <v>43921</v>
      </c>
      <c r="B131" s="6">
        <v>2</v>
      </c>
      <c r="C131" s="6" t="s">
        <v>39</v>
      </c>
      <c r="D131" s="31">
        <v>71559.997999999992</v>
      </c>
    </row>
    <row r="132" spans="1:4" x14ac:dyDescent="0.3">
      <c r="A132" s="28">
        <v>43922</v>
      </c>
      <c r="B132" s="6">
        <v>2</v>
      </c>
      <c r="C132" s="6" t="s">
        <v>39</v>
      </c>
      <c r="D132" s="31">
        <v>68260.001999999993</v>
      </c>
    </row>
    <row r="133" spans="1:4" x14ac:dyDescent="0.3">
      <c r="A133" s="28">
        <v>43923</v>
      </c>
      <c r="B133" s="6">
        <v>2</v>
      </c>
      <c r="C133" s="6" t="s">
        <v>39</v>
      </c>
      <c r="D133" s="31">
        <v>67919.998000000007</v>
      </c>
    </row>
    <row r="134" spans="1:4" x14ac:dyDescent="0.3">
      <c r="A134" s="28">
        <v>43924</v>
      </c>
      <c r="B134" s="6">
        <v>2</v>
      </c>
      <c r="C134" s="6" t="s">
        <v>39</v>
      </c>
      <c r="D134" s="31">
        <v>68500</v>
      </c>
    </row>
    <row r="135" spans="1:4" x14ac:dyDescent="0.3">
      <c r="A135" s="28">
        <v>43927</v>
      </c>
      <c r="B135" s="6">
        <v>2</v>
      </c>
      <c r="C135" s="6" t="s">
        <v>39</v>
      </c>
      <c r="D135" s="31">
        <v>69860</v>
      </c>
    </row>
    <row r="136" spans="1:4" x14ac:dyDescent="0.3">
      <c r="A136" s="28">
        <v>43928</v>
      </c>
      <c r="B136" s="6">
        <v>2</v>
      </c>
      <c r="C136" s="6" t="s">
        <v>39</v>
      </c>
      <c r="D136" s="31">
        <v>70260.001999999993</v>
      </c>
    </row>
    <row r="137" spans="1:4" x14ac:dyDescent="0.3">
      <c r="A137" s="28">
        <v>43929</v>
      </c>
      <c r="B137" s="6">
        <v>2</v>
      </c>
      <c r="C137" s="6" t="s">
        <v>39</v>
      </c>
      <c r="D137" s="31">
        <v>73680</v>
      </c>
    </row>
    <row r="138" spans="1:4" x14ac:dyDescent="0.3">
      <c r="A138" s="28">
        <v>43930</v>
      </c>
      <c r="B138" s="6">
        <v>2</v>
      </c>
      <c r="C138" s="6" t="s">
        <v>39</v>
      </c>
      <c r="D138" s="31">
        <v>75300.004000000001</v>
      </c>
    </row>
    <row r="139" spans="1:4" x14ac:dyDescent="0.3">
      <c r="A139" s="28">
        <v>43934</v>
      </c>
      <c r="B139" s="6">
        <v>2</v>
      </c>
      <c r="C139" s="6" t="s">
        <v>39</v>
      </c>
      <c r="D139" s="31">
        <v>76199.995999999999</v>
      </c>
    </row>
    <row r="140" spans="1:4" x14ac:dyDescent="0.3">
      <c r="A140" s="28">
        <v>43935</v>
      </c>
      <c r="B140" s="6">
        <v>2</v>
      </c>
      <c r="C140" s="6" t="s">
        <v>39</v>
      </c>
      <c r="D140" s="31">
        <v>79320</v>
      </c>
    </row>
    <row r="141" spans="1:4" x14ac:dyDescent="0.3">
      <c r="A141" s="28">
        <v>43936</v>
      </c>
      <c r="B141" s="6">
        <v>2</v>
      </c>
      <c r="C141" s="6" t="s">
        <v>39</v>
      </c>
      <c r="D141" s="31">
        <v>79500</v>
      </c>
    </row>
    <row r="142" spans="1:4" x14ac:dyDescent="0.3">
      <c r="A142" s="28">
        <v>43937</v>
      </c>
      <c r="B142" s="6">
        <v>2</v>
      </c>
      <c r="C142" s="6" t="s">
        <v>39</v>
      </c>
      <c r="D142" s="31">
        <v>71739.998000000007</v>
      </c>
    </row>
    <row r="143" spans="1:4" x14ac:dyDescent="0.3">
      <c r="A143" s="28">
        <v>43938</v>
      </c>
      <c r="B143" s="6">
        <v>2</v>
      </c>
      <c r="C143" s="6" t="s">
        <v>39</v>
      </c>
      <c r="D143" s="31">
        <v>73500</v>
      </c>
    </row>
    <row r="144" spans="1:4" x14ac:dyDescent="0.3">
      <c r="A144" s="28">
        <v>43941</v>
      </c>
      <c r="B144" s="6">
        <v>2</v>
      </c>
      <c r="C144" s="6" t="s">
        <v>39</v>
      </c>
      <c r="D144" s="31">
        <v>72839.995999999999</v>
      </c>
    </row>
    <row r="145" spans="1:4" x14ac:dyDescent="0.3">
      <c r="A145" s="28">
        <v>43942</v>
      </c>
      <c r="B145" s="6">
        <v>2</v>
      </c>
      <c r="C145" s="6" t="s">
        <v>39</v>
      </c>
      <c r="D145" s="31">
        <v>71320</v>
      </c>
    </row>
    <row r="146" spans="1:4" x14ac:dyDescent="0.3">
      <c r="A146" s="28">
        <v>43943</v>
      </c>
      <c r="B146" s="6">
        <v>2</v>
      </c>
      <c r="C146" s="6" t="s">
        <v>39</v>
      </c>
      <c r="D146" s="31">
        <v>73599.997999999992</v>
      </c>
    </row>
    <row r="147" spans="1:4" x14ac:dyDescent="0.3">
      <c r="A147" s="28">
        <v>43944</v>
      </c>
      <c r="B147" s="6">
        <v>2</v>
      </c>
      <c r="C147" s="6" t="s">
        <v>39</v>
      </c>
      <c r="D147" s="31">
        <v>75640</v>
      </c>
    </row>
    <row r="148" spans="1:4" x14ac:dyDescent="0.3">
      <c r="A148" s="28">
        <v>43945</v>
      </c>
      <c r="B148" s="6">
        <v>2</v>
      </c>
      <c r="C148" s="6" t="s">
        <v>39</v>
      </c>
      <c r="D148" s="31">
        <v>78940.002000000008</v>
      </c>
    </row>
    <row r="149" spans="1:4" x14ac:dyDescent="0.3">
      <c r="A149" s="28">
        <v>43948</v>
      </c>
      <c r="B149" s="6">
        <v>2</v>
      </c>
      <c r="C149" s="6" t="s">
        <v>39</v>
      </c>
      <c r="D149" s="31">
        <v>83699.995999999999</v>
      </c>
    </row>
    <row r="150" spans="1:4" x14ac:dyDescent="0.3">
      <c r="A150" s="28">
        <v>43949</v>
      </c>
      <c r="B150" s="6">
        <v>2</v>
      </c>
      <c r="C150" s="6" t="s">
        <v>39</v>
      </c>
      <c r="D150" s="31">
        <v>82300.004000000001</v>
      </c>
    </row>
    <row r="151" spans="1:4" x14ac:dyDescent="0.3">
      <c r="A151" s="28">
        <v>43950</v>
      </c>
      <c r="B151" s="6">
        <v>2</v>
      </c>
      <c r="C151" s="6" t="s">
        <v>39</v>
      </c>
      <c r="D151" s="31">
        <v>84040</v>
      </c>
    </row>
    <row r="152" spans="1:4" x14ac:dyDescent="0.3">
      <c r="A152" s="28">
        <v>43951</v>
      </c>
      <c r="B152" s="6">
        <v>2</v>
      </c>
      <c r="C152" s="6" t="s">
        <v>39</v>
      </c>
      <c r="D152" s="31">
        <v>85500</v>
      </c>
    </row>
    <row r="153" spans="1:4" x14ac:dyDescent="0.3">
      <c r="A153" s="28">
        <v>43952</v>
      </c>
      <c r="B153" s="6">
        <v>2</v>
      </c>
      <c r="C153" s="6" t="s">
        <v>39</v>
      </c>
      <c r="D153" s="31">
        <v>84720.001999999993</v>
      </c>
    </row>
    <row r="154" spans="1:4" x14ac:dyDescent="0.3">
      <c r="A154" s="28">
        <v>43955</v>
      </c>
      <c r="B154" s="6">
        <v>2</v>
      </c>
      <c r="C154" s="6" t="s">
        <v>39</v>
      </c>
      <c r="D154" s="31">
        <v>87580.001999999993</v>
      </c>
    </row>
    <row r="155" spans="1:4" x14ac:dyDescent="0.3">
      <c r="A155" s="28">
        <v>43956</v>
      </c>
      <c r="B155" s="6">
        <v>2</v>
      </c>
      <c r="C155" s="6" t="s">
        <v>39</v>
      </c>
      <c r="D155" s="31">
        <v>115839.996</v>
      </c>
    </row>
    <row r="156" spans="1:4" x14ac:dyDescent="0.3">
      <c r="A156" s="28">
        <v>43957</v>
      </c>
      <c r="B156" s="6">
        <v>2</v>
      </c>
      <c r="C156" s="6" t="s">
        <v>39</v>
      </c>
      <c r="D156" s="31">
        <v>120800.004</v>
      </c>
    </row>
    <row r="157" spans="1:4" x14ac:dyDescent="0.3">
      <c r="A157" s="28">
        <v>43958</v>
      </c>
      <c r="B157" s="6">
        <v>2</v>
      </c>
      <c r="C157" s="6" t="s">
        <v>39</v>
      </c>
      <c r="D157" s="31">
        <v>118779.99800000001</v>
      </c>
    </row>
    <row r="158" spans="1:4" x14ac:dyDescent="0.3">
      <c r="A158" s="28">
        <v>43959</v>
      </c>
      <c r="B158" s="6">
        <v>2</v>
      </c>
      <c r="C158" s="6" t="s">
        <v>39</v>
      </c>
      <c r="D158" s="31">
        <v>126260.00199999999</v>
      </c>
    </row>
    <row r="159" spans="1:4" x14ac:dyDescent="0.3">
      <c r="A159" s="28">
        <v>43962</v>
      </c>
      <c r="B159" s="6">
        <v>2</v>
      </c>
      <c r="C159" s="6" t="s">
        <v>39</v>
      </c>
      <c r="D159" s="31">
        <v>122339.996</v>
      </c>
    </row>
    <row r="160" spans="1:4" x14ac:dyDescent="0.3">
      <c r="A160" s="28">
        <v>43963</v>
      </c>
      <c r="B160" s="6">
        <v>2</v>
      </c>
      <c r="C160" s="6" t="s">
        <v>39</v>
      </c>
      <c r="D160" s="31">
        <v>123820</v>
      </c>
    </row>
    <row r="161" spans="1:4" x14ac:dyDescent="0.3">
      <c r="A161" s="28">
        <v>43964</v>
      </c>
      <c r="B161" s="6">
        <v>2</v>
      </c>
      <c r="C161" s="6" t="s">
        <v>39</v>
      </c>
      <c r="D161" s="31">
        <v>129619.99599999998</v>
      </c>
    </row>
    <row r="162" spans="1:4" x14ac:dyDescent="0.3">
      <c r="A162" s="28">
        <v>43965</v>
      </c>
      <c r="B162" s="6">
        <v>2</v>
      </c>
      <c r="C162" s="6" t="s">
        <v>39</v>
      </c>
      <c r="D162" s="31">
        <v>130600.00600000001</v>
      </c>
    </row>
    <row r="163" spans="1:4" x14ac:dyDescent="0.3">
      <c r="A163" s="28">
        <v>43966</v>
      </c>
      <c r="B163" s="6">
        <v>2</v>
      </c>
      <c r="C163" s="6" t="s">
        <v>39</v>
      </c>
      <c r="D163" s="31">
        <v>133320.008</v>
      </c>
    </row>
    <row r="164" spans="1:4" x14ac:dyDescent="0.3">
      <c r="A164" s="28">
        <v>43969</v>
      </c>
      <c r="B164" s="6">
        <v>2</v>
      </c>
      <c r="C164" s="6" t="s">
        <v>39</v>
      </c>
      <c r="D164" s="31">
        <v>124400.00200000001</v>
      </c>
    </row>
    <row r="165" spans="1:4" x14ac:dyDescent="0.3">
      <c r="A165" s="28">
        <v>43970</v>
      </c>
      <c r="B165" s="6">
        <v>2</v>
      </c>
      <c r="C165" s="6" t="s">
        <v>39</v>
      </c>
      <c r="D165" s="31">
        <v>122059.99799999999</v>
      </c>
    </row>
    <row r="166" spans="1:4" x14ac:dyDescent="0.3">
      <c r="A166" s="28">
        <v>43971</v>
      </c>
      <c r="B166" s="6">
        <v>2</v>
      </c>
      <c r="C166" s="6" t="s">
        <v>39</v>
      </c>
      <c r="D166" s="31">
        <v>126019.996</v>
      </c>
    </row>
    <row r="167" spans="1:4" x14ac:dyDescent="0.3">
      <c r="A167" s="28">
        <v>43972</v>
      </c>
      <c r="B167" s="6">
        <v>2</v>
      </c>
      <c r="C167" s="6" t="s">
        <v>39</v>
      </c>
      <c r="D167" s="31">
        <v>125580.00199999999</v>
      </c>
    </row>
    <row r="168" spans="1:4" x14ac:dyDescent="0.3">
      <c r="A168" s="28">
        <v>43973</v>
      </c>
      <c r="B168" s="6">
        <v>2</v>
      </c>
      <c r="C168" s="6" t="s">
        <v>39</v>
      </c>
      <c r="D168" s="31">
        <v>129820.008</v>
      </c>
    </row>
    <row r="169" spans="1:4" x14ac:dyDescent="0.3">
      <c r="A169" s="28">
        <v>43977</v>
      </c>
      <c r="B169" s="6">
        <v>2</v>
      </c>
      <c r="C169" s="6" t="s">
        <v>39</v>
      </c>
      <c r="D169" s="31">
        <v>124199.996</v>
      </c>
    </row>
    <row r="170" spans="1:4" x14ac:dyDescent="0.3">
      <c r="A170" s="28">
        <v>43978</v>
      </c>
      <c r="B170" s="6">
        <v>2</v>
      </c>
      <c r="C170" s="6" t="s">
        <v>39</v>
      </c>
      <c r="D170" s="31">
        <v>121480.004</v>
      </c>
    </row>
    <row r="171" spans="1:4" x14ac:dyDescent="0.3">
      <c r="A171" s="28">
        <v>43979</v>
      </c>
      <c r="B171" s="6">
        <v>2</v>
      </c>
      <c r="C171" s="6" t="s">
        <v>39</v>
      </c>
      <c r="D171" s="31">
        <v>120940.00200000001</v>
      </c>
    </row>
    <row r="172" spans="1:4" x14ac:dyDescent="0.3">
      <c r="A172" s="28">
        <v>43980</v>
      </c>
      <c r="B172" s="6">
        <v>2</v>
      </c>
      <c r="C172" s="6" t="s">
        <v>39</v>
      </c>
      <c r="D172" s="31">
        <v>122160.004</v>
      </c>
    </row>
    <row r="173" spans="1:4" x14ac:dyDescent="0.3">
      <c r="A173" s="28">
        <v>43983</v>
      </c>
      <c r="B173" s="6">
        <v>2</v>
      </c>
      <c r="C173" s="6" t="s">
        <v>39</v>
      </c>
      <c r="D173" s="31">
        <v>124860</v>
      </c>
    </row>
    <row r="174" spans="1:4" x14ac:dyDescent="0.3">
      <c r="A174" s="28">
        <v>43984</v>
      </c>
      <c r="B174" s="6">
        <v>2</v>
      </c>
      <c r="C174" s="6" t="s">
        <v>39</v>
      </c>
      <c r="D174" s="31">
        <v>125120.00199999999</v>
      </c>
    </row>
    <row r="175" spans="1:4" x14ac:dyDescent="0.3">
      <c r="A175" s="28">
        <v>43985</v>
      </c>
      <c r="B175" s="6">
        <v>2</v>
      </c>
      <c r="C175" s="6" t="s">
        <v>39</v>
      </c>
      <c r="D175" s="31">
        <v>122800.004</v>
      </c>
    </row>
    <row r="176" spans="1:4" x14ac:dyDescent="0.3">
      <c r="A176" s="28">
        <v>43986</v>
      </c>
      <c r="B176" s="6">
        <v>2</v>
      </c>
      <c r="C176" s="6" t="s">
        <v>39</v>
      </c>
      <c r="D176" s="31">
        <v>116680</v>
      </c>
    </row>
    <row r="177" spans="1:4" x14ac:dyDescent="0.3">
      <c r="A177" s="28">
        <v>43987</v>
      </c>
      <c r="B177" s="6">
        <v>2</v>
      </c>
      <c r="C177" s="6" t="s">
        <v>39</v>
      </c>
      <c r="D177" s="31">
        <v>117080.00199999999</v>
      </c>
    </row>
    <row r="178" spans="1:4" x14ac:dyDescent="0.3">
      <c r="A178" s="28">
        <v>43990</v>
      </c>
      <c r="B178" s="6">
        <v>2</v>
      </c>
      <c r="C178" s="6" t="s">
        <v>39</v>
      </c>
      <c r="D178" s="31">
        <v>115480.004</v>
      </c>
    </row>
    <row r="179" spans="1:4" x14ac:dyDescent="0.3">
      <c r="A179" s="28">
        <v>43991</v>
      </c>
      <c r="B179" s="6">
        <v>2</v>
      </c>
      <c r="C179" s="6" t="s">
        <v>39</v>
      </c>
      <c r="D179" s="31">
        <v>113800.004</v>
      </c>
    </row>
    <row r="180" spans="1:4" x14ac:dyDescent="0.3">
      <c r="A180" s="28">
        <v>43992</v>
      </c>
      <c r="B180" s="6">
        <v>2</v>
      </c>
      <c r="C180" s="6" t="s">
        <v>39</v>
      </c>
      <c r="D180" s="31">
        <v>117680</v>
      </c>
    </row>
    <row r="181" spans="1:4" x14ac:dyDescent="0.3">
      <c r="A181" s="28">
        <v>43993</v>
      </c>
      <c r="B181" s="6">
        <v>2</v>
      </c>
      <c r="C181" s="6" t="s">
        <v>39</v>
      </c>
      <c r="D181" s="31">
        <v>113640</v>
      </c>
    </row>
    <row r="182" spans="1:4" x14ac:dyDescent="0.3">
      <c r="A182" s="28">
        <v>43994</v>
      </c>
      <c r="B182" s="6">
        <v>2</v>
      </c>
      <c r="C182" s="6" t="s">
        <v>39</v>
      </c>
      <c r="D182" s="31">
        <v>113800.004</v>
      </c>
    </row>
    <row r="183" spans="1:4" x14ac:dyDescent="0.3">
      <c r="A183" s="28">
        <v>43997</v>
      </c>
      <c r="B183" s="6">
        <v>2</v>
      </c>
      <c r="C183" s="6" t="s">
        <v>39</v>
      </c>
      <c r="D183" s="31">
        <v>118739.99800000001</v>
      </c>
    </row>
    <row r="184" spans="1:4" x14ac:dyDescent="0.3">
      <c r="A184" s="28">
        <v>43998</v>
      </c>
      <c r="B184" s="6">
        <v>2</v>
      </c>
      <c r="C184" s="6" t="s">
        <v>39</v>
      </c>
      <c r="D184" s="31">
        <v>120779.99800000001</v>
      </c>
    </row>
    <row r="185" spans="1:4" x14ac:dyDescent="0.3">
      <c r="A185" s="28">
        <v>43999</v>
      </c>
      <c r="B185" s="6">
        <v>2</v>
      </c>
      <c r="C185" s="6" t="s">
        <v>39</v>
      </c>
      <c r="D185" s="31">
        <v>127739.99800000001</v>
      </c>
    </row>
    <row r="186" spans="1:4" x14ac:dyDescent="0.3">
      <c r="A186" s="28">
        <v>44000</v>
      </c>
      <c r="B186" s="6">
        <v>2</v>
      </c>
      <c r="C186" s="6" t="s">
        <v>39</v>
      </c>
      <c r="D186" s="31">
        <v>126220.00199999999</v>
      </c>
    </row>
    <row r="187" spans="1:4" x14ac:dyDescent="0.3">
      <c r="A187" s="28">
        <v>44001</v>
      </c>
      <c r="B187" s="6">
        <v>2</v>
      </c>
      <c r="C187" s="6" t="s">
        <v>39</v>
      </c>
      <c r="D187" s="31">
        <v>135619.99599999998</v>
      </c>
    </row>
    <row r="188" spans="1:4" x14ac:dyDescent="0.3">
      <c r="A188" s="28">
        <v>44004</v>
      </c>
      <c r="B188" s="6">
        <v>2</v>
      </c>
      <c r="C188" s="6" t="s">
        <v>39</v>
      </c>
      <c r="D188" s="31">
        <v>139660.00399999999</v>
      </c>
    </row>
    <row r="189" spans="1:4" x14ac:dyDescent="0.3">
      <c r="A189" s="28">
        <v>44005</v>
      </c>
      <c r="B189" s="6">
        <v>2</v>
      </c>
      <c r="C189" s="6" t="s">
        <v>39</v>
      </c>
      <c r="D189" s="31">
        <v>133440.00199999998</v>
      </c>
    </row>
    <row r="190" spans="1:4" x14ac:dyDescent="0.3">
      <c r="A190" s="28">
        <v>44006</v>
      </c>
      <c r="B190" s="6">
        <v>2</v>
      </c>
      <c r="C190" s="6" t="s">
        <v>39</v>
      </c>
      <c r="D190" s="31">
        <v>128300.004</v>
      </c>
    </row>
    <row r="191" spans="1:4" x14ac:dyDescent="0.3">
      <c r="A191" s="28">
        <v>44007</v>
      </c>
      <c r="B191" s="6">
        <v>2</v>
      </c>
      <c r="C191" s="6" t="s">
        <v>39</v>
      </c>
      <c r="D191" s="31">
        <v>129899.99399999999</v>
      </c>
    </row>
    <row r="192" spans="1:4" x14ac:dyDescent="0.3">
      <c r="A192" s="28">
        <v>44008</v>
      </c>
      <c r="B192" s="6">
        <v>2</v>
      </c>
      <c r="C192" s="6" t="s">
        <v>39</v>
      </c>
      <c r="D192" s="31">
        <v>130839.99600000001</v>
      </c>
    </row>
    <row r="193" spans="1:4" x14ac:dyDescent="0.3">
      <c r="A193" s="28">
        <v>44011</v>
      </c>
      <c r="B193" s="6">
        <v>2</v>
      </c>
      <c r="C193" s="6" t="s">
        <v>39</v>
      </c>
      <c r="D193" s="31">
        <v>133460.00599999999</v>
      </c>
    </row>
    <row r="194" spans="1:4" x14ac:dyDescent="0.3">
      <c r="A194" s="28">
        <v>44012</v>
      </c>
      <c r="B194" s="6">
        <v>2</v>
      </c>
      <c r="C194" s="6" t="s">
        <v>39</v>
      </c>
      <c r="D194" s="31">
        <v>134520.00399999999</v>
      </c>
    </row>
    <row r="195" spans="1:4" x14ac:dyDescent="0.3">
      <c r="A195" s="28">
        <v>44013</v>
      </c>
      <c r="B195" s="6">
        <v>2</v>
      </c>
      <c r="C195" s="6" t="s">
        <v>39</v>
      </c>
      <c r="D195" s="31">
        <v>136160.00399999999</v>
      </c>
    </row>
    <row r="196" spans="1:4" x14ac:dyDescent="0.3">
      <c r="A196" s="28">
        <v>44014</v>
      </c>
      <c r="B196" s="6">
        <v>2</v>
      </c>
      <c r="C196" s="6" t="s">
        <v>39</v>
      </c>
      <c r="D196" s="31">
        <v>140399.99400000001</v>
      </c>
    </row>
    <row r="197" spans="1:4" x14ac:dyDescent="0.3">
      <c r="A197" s="28">
        <v>44018</v>
      </c>
      <c r="B197" s="6">
        <v>2</v>
      </c>
      <c r="C197" s="6" t="s">
        <v>39</v>
      </c>
      <c r="D197" s="31">
        <v>142539.99400000001</v>
      </c>
    </row>
    <row r="198" spans="1:4" x14ac:dyDescent="0.3">
      <c r="A198" s="28">
        <v>44019</v>
      </c>
      <c r="B198" s="6">
        <v>2</v>
      </c>
      <c r="C198" s="6" t="s">
        <v>39</v>
      </c>
      <c r="D198" s="31">
        <v>142479.99600000001</v>
      </c>
    </row>
    <row r="199" spans="1:4" x14ac:dyDescent="0.3">
      <c r="A199" s="28">
        <v>44020</v>
      </c>
      <c r="B199" s="6">
        <v>2</v>
      </c>
      <c r="C199" s="6" t="s">
        <v>39</v>
      </c>
      <c r="D199" s="31">
        <v>145580.00200000001</v>
      </c>
    </row>
    <row r="200" spans="1:4" x14ac:dyDescent="0.3">
      <c r="A200" s="28">
        <v>44021</v>
      </c>
      <c r="B200" s="6">
        <v>2</v>
      </c>
      <c r="C200" s="6" t="s">
        <v>39</v>
      </c>
      <c r="D200" s="31">
        <v>145619.99599999998</v>
      </c>
    </row>
    <row r="201" spans="1:4" x14ac:dyDescent="0.3">
      <c r="A201" s="28">
        <v>44022</v>
      </c>
      <c r="B201" s="6">
        <v>2</v>
      </c>
      <c r="C201" s="6" t="s">
        <v>39</v>
      </c>
      <c r="D201" s="31">
        <v>150039.99400000001</v>
      </c>
    </row>
    <row r="202" spans="1:4" x14ac:dyDescent="0.3">
      <c r="A202" s="28">
        <v>43880</v>
      </c>
      <c r="B202" s="6">
        <v>3</v>
      </c>
      <c r="C202" s="6" t="s">
        <v>39</v>
      </c>
      <c r="D202" s="31">
        <v>118384.598</v>
      </c>
    </row>
    <row r="203" spans="1:4" x14ac:dyDescent="0.3">
      <c r="A203" s="28">
        <v>43881</v>
      </c>
      <c r="B203" s="6">
        <v>3</v>
      </c>
      <c r="C203" s="6" t="s">
        <v>39</v>
      </c>
      <c r="D203" s="31">
        <v>117442.864</v>
      </c>
    </row>
    <row r="204" spans="1:4" x14ac:dyDescent="0.3">
      <c r="A204" s="28">
        <v>43882</v>
      </c>
      <c r="B204" s="6">
        <v>3</v>
      </c>
      <c r="C204" s="6" t="s">
        <v>39</v>
      </c>
      <c r="D204" s="31">
        <v>116010.628</v>
      </c>
    </row>
    <row r="205" spans="1:4" x14ac:dyDescent="0.3">
      <c r="A205" s="28">
        <v>43885</v>
      </c>
      <c r="B205" s="6">
        <v>3</v>
      </c>
      <c r="C205" s="6" t="s">
        <v>39</v>
      </c>
      <c r="D205" s="31">
        <v>110576.004</v>
      </c>
    </row>
    <row r="206" spans="1:4" x14ac:dyDescent="0.3">
      <c r="A206" s="28">
        <v>43886</v>
      </c>
      <c r="B206" s="6">
        <v>3</v>
      </c>
      <c r="C206" s="6" t="s">
        <v>39</v>
      </c>
      <c r="D206" s="31">
        <v>106338.17200000001</v>
      </c>
    </row>
    <row r="207" spans="1:4" x14ac:dyDescent="0.3">
      <c r="A207" s="28">
        <v>43887</v>
      </c>
      <c r="B207" s="6">
        <v>3</v>
      </c>
      <c r="C207" s="6" t="s">
        <v>39</v>
      </c>
      <c r="D207" s="31">
        <v>104003.44</v>
      </c>
    </row>
    <row r="208" spans="1:4" x14ac:dyDescent="0.3">
      <c r="A208" s="28">
        <v>43888</v>
      </c>
      <c r="B208" s="6">
        <v>3</v>
      </c>
      <c r="C208" s="6" t="s">
        <v>39</v>
      </c>
      <c r="D208" s="31">
        <v>97744.79</v>
      </c>
    </row>
    <row r="209" spans="1:4" x14ac:dyDescent="0.3">
      <c r="A209" s="28">
        <v>43889</v>
      </c>
      <c r="B209" s="6">
        <v>3</v>
      </c>
      <c r="C209" s="6" t="s">
        <v>39</v>
      </c>
      <c r="D209" s="31">
        <v>100923.164</v>
      </c>
    </row>
    <row r="210" spans="1:4" x14ac:dyDescent="0.3">
      <c r="A210" s="28">
        <v>43892</v>
      </c>
      <c r="B210" s="6">
        <v>3</v>
      </c>
      <c r="C210" s="6" t="s">
        <v>39</v>
      </c>
      <c r="D210" s="31">
        <v>105710.35</v>
      </c>
    </row>
    <row r="211" spans="1:4" x14ac:dyDescent="0.3">
      <c r="A211" s="28">
        <v>43893</v>
      </c>
      <c r="B211" s="6">
        <v>3</v>
      </c>
      <c r="C211" s="6" t="s">
        <v>39</v>
      </c>
      <c r="D211" s="31">
        <v>100648.48999999999</v>
      </c>
    </row>
    <row r="212" spans="1:4" x14ac:dyDescent="0.3">
      <c r="A212" s="28">
        <v>43894</v>
      </c>
      <c r="B212" s="6">
        <v>3</v>
      </c>
      <c r="C212" s="6" t="s">
        <v>39</v>
      </c>
      <c r="D212" s="31">
        <v>102845.878</v>
      </c>
    </row>
    <row r="213" spans="1:4" x14ac:dyDescent="0.3">
      <c r="A213" s="28">
        <v>43895</v>
      </c>
      <c r="B213" s="6">
        <v>3</v>
      </c>
      <c r="C213" s="6" t="s">
        <v>39</v>
      </c>
      <c r="D213" s="31">
        <v>98313.758000000002</v>
      </c>
    </row>
    <row r="214" spans="1:4" x14ac:dyDescent="0.3">
      <c r="A214" s="28">
        <v>43896</v>
      </c>
      <c r="B214" s="6">
        <v>3</v>
      </c>
      <c r="C214" s="6" t="s">
        <v>39</v>
      </c>
      <c r="D214" s="31">
        <v>93565.817999999999</v>
      </c>
    </row>
    <row r="215" spans="1:4" x14ac:dyDescent="0.3">
      <c r="A215" s="28">
        <v>43899</v>
      </c>
      <c r="B215" s="6">
        <v>3</v>
      </c>
      <c r="C215" s="6" t="s">
        <v>39</v>
      </c>
      <c r="D215" s="31">
        <v>82127.601999999999</v>
      </c>
    </row>
    <row r="216" spans="1:4" x14ac:dyDescent="0.3">
      <c r="A216" s="28">
        <v>43900</v>
      </c>
      <c r="B216" s="6">
        <v>3</v>
      </c>
      <c r="C216" s="6" t="s">
        <v>39</v>
      </c>
      <c r="D216" s="31">
        <v>85168.631999999998</v>
      </c>
    </row>
    <row r="217" spans="1:4" x14ac:dyDescent="0.3">
      <c r="A217" s="28">
        <v>43901</v>
      </c>
      <c r="B217" s="6">
        <v>3</v>
      </c>
      <c r="C217" s="6" t="s">
        <v>39</v>
      </c>
      <c r="D217" s="31">
        <v>82363.03</v>
      </c>
    </row>
    <row r="218" spans="1:4" x14ac:dyDescent="0.3">
      <c r="A218" s="28">
        <v>43902</v>
      </c>
      <c r="B218" s="6">
        <v>3</v>
      </c>
      <c r="C218" s="6" t="s">
        <v>39</v>
      </c>
      <c r="D218" s="31">
        <v>72945.631999999998</v>
      </c>
    </row>
    <row r="219" spans="1:4" x14ac:dyDescent="0.3">
      <c r="A219" s="28">
        <v>43903</v>
      </c>
      <c r="B219" s="6">
        <v>3</v>
      </c>
      <c r="C219" s="6" t="s">
        <v>39</v>
      </c>
      <c r="D219" s="31">
        <v>74789.872000000003</v>
      </c>
    </row>
    <row r="220" spans="1:4" x14ac:dyDescent="0.3">
      <c r="A220" s="28">
        <v>43906</v>
      </c>
      <c r="B220" s="6">
        <v>3</v>
      </c>
      <c r="C220" s="6" t="s">
        <v>39</v>
      </c>
      <c r="D220" s="31">
        <v>67667.968000000008</v>
      </c>
    </row>
    <row r="221" spans="1:4" x14ac:dyDescent="0.3">
      <c r="A221" s="28">
        <v>43907</v>
      </c>
      <c r="B221" s="6">
        <v>3</v>
      </c>
      <c r="C221" s="6" t="s">
        <v>39</v>
      </c>
      <c r="D221" s="31">
        <v>72219.712</v>
      </c>
    </row>
    <row r="222" spans="1:4" x14ac:dyDescent="0.3">
      <c r="A222" s="28">
        <v>43908</v>
      </c>
      <c r="B222" s="6">
        <v>3</v>
      </c>
      <c r="C222" s="6" t="s">
        <v>39</v>
      </c>
      <c r="D222" s="31">
        <v>64980.08</v>
      </c>
    </row>
    <row r="223" spans="1:4" x14ac:dyDescent="0.3">
      <c r="A223" s="28">
        <v>43909</v>
      </c>
      <c r="B223" s="6">
        <v>3</v>
      </c>
      <c r="C223" s="6" t="s">
        <v>39</v>
      </c>
      <c r="D223" s="31">
        <v>67550.247999999992</v>
      </c>
    </row>
    <row r="224" spans="1:4" x14ac:dyDescent="0.3">
      <c r="A224" s="28">
        <v>43910</v>
      </c>
      <c r="B224" s="6">
        <v>3</v>
      </c>
      <c r="C224" s="6" t="s">
        <v>39</v>
      </c>
      <c r="D224" s="31">
        <v>64234.536000000007</v>
      </c>
    </row>
    <row r="225" spans="1:4" x14ac:dyDescent="0.3">
      <c r="A225" s="28">
        <v>43913</v>
      </c>
      <c r="B225" s="6">
        <v>3</v>
      </c>
      <c r="C225" s="6" t="s">
        <v>39</v>
      </c>
      <c r="D225" s="31">
        <v>61703.61</v>
      </c>
    </row>
    <row r="226" spans="1:4" x14ac:dyDescent="0.3">
      <c r="A226" s="28">
        <v>43914</v>
      </c>
      <c r="B226" s="6">
        <v>3</v>
      </c>
      <c r="C226" s="6" t="s">
        <v>39</v>
      </c>
      <c r="D226" s="31">
        <v>69531.822</v>
      </c>
    </row>
    <row r="227" spans="1:4" x14ac:dyDescent="0.3">
      <c r="A227" s="28">
        <v>43915</v>
      </c>
      <c r="B227" s="6">
        <v>3</v>
      </c>
      <c r="C227" s="6" t="s">
        <v>39</v>
      </c>
      <c r="D227" s="31">
        <v>73161.445999999996</v>
      </c>
    </row>
    <row r="228" spans="1:4" x14ac:dyDescent="0.3">
      <c r="A228" s="28">
        <v>43916</v>
      </c>
      <c r="B228" s="6">
        <v>3</v>
      </c>
      <c r="C228" s="6" t="s">
        <v>39</v>
      </c>
      <c r="D228" s="31">
        <v>76163.245999999999</v>
      </c>
    </row>
    <row r="229" spans="1:4" x14ac:dyDescent="0.3">
      <c r="A229" s="28">
        <v>43917</v>
      </c>
      <c r="B229" s="6">
        <v>3</v>
      </c>
      <c r="C229" s="6" t="s">
        <v>39</v>
      </c>
      <c r="D229" s="31">
        <v>72494.383999999991</v>
      </c>
    </row>
    <row r="230" spans="1:4" x14ac:dyDescent="0.3">
      <c r="A230" s="28">
        <v>43920</v>
      </c>
      <c r="B230" s="6">
        <v>3</v>
      </c>
      <c r="C230" s="6" t="s">
        <v>39</v>
      </c>
      <c r="D230" s="31">
        <v>73573.455999999991</v>
      </c>
    </row>
    <row r="231" spans="1:4" x14ac:dyDescent="0.3">
      <c r="A231" s="28">
        <v>43921</v>
      </c>
      <c r="B231" s="6">
        <v>3</v>
      </c>
      <c r="C231" s="6" t="s">
        <v>39</v>
      </c>
      <c r="D231" s="31">
        <v>74495.581999999995</v>
      </c>
    </row>
    <row r="232" spans="1:4" x14ac:dyDescent="0.3">
      <c r="A232" s="28">
        <v>43922</v>
      </c>
      <c r="B232" s="6">
        <v>3</v>
      </c>
      <c r="C232" s="6" t="s">
        <v>39</v>
      </c>
      <c r="D232" s="31">
        <v>73632.316000000006</v>
      </c>
    </row>
    <row r="233" spans="1:4" x14ac:dyDescent="0.3">
      <c r="A233" s="28">
        <v>43923</v>
      </c>
      <c r="B233" s="6">
        <v>3</v>
      </c>
      <c r="C233" s="6" t="s">
        <v>39</v>
      </c>
      <c r="D233" s="31">
        <v>79263.146000000008</v>
      </c>
    </row>
    <row r="234" spans="1:4" x14ac:dyDescent="0.3">
      <c r="A234" s="28">
        <v>43924</v>
      </c>
      <c r="B234" s="6">
        <v>3</v>
      </c>
      <c r="C234" s="6" t="s">
        <v>39</v>
      </c>
      <c r="D234" s="31">
        <v>76928.405999999988</v>
      </c>
    </row>
    <row r="235" spans="1:4" x14ac:dyDescent="0.3">
      <c r="A235" s="28">
        <v>43927</v>
      </c>
      <c r="B235" s="6">
        <v>3</v>
      </c>
      <c r="C235" s="6" t="s">
        <v>39</v>
      </c>
      <c r="D235" s="31">
        <v>79400.482000000004</v>
      </c>
    </row>
    <row r="236" spans="1:4" x14ac:dyDescent="0.3">
      <c r="A236" s="28">
        <v>43928</v>
      </c>
      <c r="B236" s="6">
        <v>3</v>
      </c>
      <c r="C236" s="6" t="s">
        <v>39</v>
      </c>
      <c r="D236" s="31">
        <v>80911.186000000002</v>
      </c>
    </row>
    <row r="237" spans="1:4" x14ac:dyDescent="0.3">
      <c r="A237" s="28">
        <v>43929</v>
      </c>
      <c r="B237" s="6">
        <v>3</v>
      </c>
      <c r="C237" s="6" t="s">
        <v>39</v>
      </c>
      <c r="D237" s="31">
        <v>86031.89</v>
      </c>
    </row>
    <row r="238" spans="1:4" x14ac:dyDescent="0.3">
      <c r="A238" s="28">
        <v>43930</v>
      </c>
      <c r="B238" s="6">
        <v>3</v>
      </c>
      <c r="C238" s="6" t="s">
        <v>39</v>
      </c>
      <c r="D238" s="31">
        <v>84619.286000000007</v>
      </c>
    </row>
    <row r="239" spans="1:4" x14ac:dyDescent="0.3">
      <c r="A239" s="28">
        <v>43934</v>
      </c>
      <c r="B239" s="6">
        <v>3</v>
      </c>
      <c r="C239" s="6" t="s">
        <v>39</v>
      </c>
      <c r="D239" s="31">
        <v>83893.356</v>
      </c>
    </row>
    <row r="240" spans="1:4" x14ac:dyDescent="0.3">
      <c r="A240" s="28">
        <v>43935</v>
      </c>
      <c r="B240" s="6">
        <v>3</v>
      </c>
      <c r="C240" s="6" t="s">
        <v>39</v>
      </c>
      <c r="D240" s="31">
        <v>83245.918000000005</v>
      </c>
    </row>
    <row r="241" spans="1:4" x14ac:dyDescent="0.3">
      <c r="A241" s="28">
        <v>43936</v>
      </c>
      <c r="B241" s="6">
        <v>3</v>
      </c>
      <c r="C241" s="6" t="s">
        <v>39</v>
      </c>
      <c r="D241" s="31">
        <v>79420.097999999998</v>
      </c>
    </row>
    <row r="242" spans="1:4" x14ac:dyDescent="0.3">
      <c r="A242" s="28">
        <v>43937</v>
      </c>
      <c r="B242" s="6">
        <v>3</v>
      </c>
      <c r="C242" s="6" t="s">
        <v>39</v>
      </c>
      <c r="D242" s="31">
        <v>76810.69200000001</v>
      </c>
    </row>
    <row r="243" spans="1:4" x14ac:dyDescent="0.3">
      <c r="A243" s="28">
        <v>43938</v>
      </c>
      <c r="B243" s="6">
        <v>3</v>
      </c>
      <c r="C243" s="6" t="s">
        <v>39</v>
      </c>
      <c r="D243" s="31">
        <v>84795.868000000002</v>
      </c>
    </row>
    <row r="244" spans="1:4" x14ac:dyDescent="0.3">
      <c r="A244" s="28">
        <v>43941</v>
      </c>
      <c r="B244" s="6">
        <v>3</v>
      </c>
      <c r="C244" s="6" t="s">
        <v>39</v>
      </c>
      <c r="D244" s="31">
        <v>80793.464000000007</v>
      </c>
    </row>
    <row r="245" spans="1:4" x14ac:dyDescent="0.3">
      <c r="A245" s="28">
        <v>43942</v>
      </c>
      <c r="B245" s="6">
        <v>3</v>
      </c>
      <c r="C245" s="6" t="s">
        <v>39</v>
      </c>
      <c r="D245" s="31">
        <v>80361.832000000009</v>
      </c>
    </row>
    <row r="246" spans="1:4" x14ac:dyDescent="0.3">
      <c r="A246" s="28">
        <v>43943</v>
      </c>
      <c r="B246" s="6">
        <v>3</v>
      </c>
      <c r="C246" s="6" t="s">
        <v>39</v>
      </c>
      <c r="D246" s="31">
        <v>82657.334000000003</v>
      </c>
    </row>
    <row r="247" spans="1:4" x14ac:dyDescent="0.3">
      <c r="A247" s="28">
        <v>43944</v>
      </c>
      <c r="B247" s="6">
        <v>3</v>
      </c>
      <c r="C247" s="6" t="s">
        <v>39</v>
      </c>
      <c r="D247" s="31">
        <v>85247.116000000009</v>
      </c>
    </row>
    <row r="248" spans="1:4" x14ac:dyDescent="0.3">
      <c r="A248" s="28">
        <v>43945</v>
      </c>
      <c r="B248" s="6">
        <v>3</v>
      </c>
      <c r="C248" s="6" t="s">
        <v>39</v>
      </c>
      <c r="D248" s="31">
        <v>85796.464000000007</v>
      </c>
    </row>
    <row r="249" spans="1:4" x14ac:dyDescent="0.3">
      <c r="A249" s="28">
        <v>43948</v>
      </c>
      <c r="B249" s="6">
        <v>3</v>
      </c>
      <c r="C249" s="6" t="s">
        <v>39</v>
      </c>
      <c r="D249" s="31">
        <v>86208.474000000002</v>
      </c>
    </row>
    <row r="250" spans="1:4" x14ac:dyDescent="0.3">
      <c r="A250" s="28">
        <v>43949</v>
      </c>
      <c r="B250" s="6">
        <v>3</v>
      </c>
      <c r="C250" s="6" t="s">
        <v>39</v>
      </c>
      <c r="D250" s="31">
        <v>88229.293999999994</v>
      </c>
    </row>
    <row r="251" spans="1:4" x14ac:dyDescent="0.3">
      <c r="A251" s="28">
        <v>43950</v>
      </c>
      <c r="B251" s="6">
        <v>3</v>
      </c>
      <c r="C251" s="6" t="s">
        <v>39</v>
      </c>
      <c r="D251" s="31">
        <v>93114.57</v>
      </c>
    </row>
    <row r="252" spans="1:4" x14ac:dyDescent="0.3">
      <c r="A252" s="28">
        <v>43951</v>
      </c>
      <c r="B252" s="6">
        <v>3</v>
      </c>
      <c r="C252" s="6" t="s">
        <v>39</v>
      </c>
      <c r="D252" s="31">
        <v>91172.233999999997</v>
      </c>
    </row>
    <row r="253" spans="1:4" x14ac:dyDescent="0.3">
      <c r="A253" s="28">
        <v>43952</v>
      </c>
      <c r="B253" s="6">
        <v>3</v>
      </c>
      <c r="C253" s="6" t="s">
        <v>39</v>
      </c>
      <c r="D253" s="31">
        <v>84638.907999999996</v>
      </c>
    </row>
    <row r="254" spans="1:4" x14ac:dyDescent="0.3">
      <c r="A254" s="28">
        <v>43955</v>
      </c>
      <c r="B254" s="6">
        <v>3</v>
      </c>
      <c r="C254" s="6" t="s">
        <v>39</v>
      </c>
      <c r="D254" s="31">
        <v>88052.719999999987</v>
      </c>
    </row>
    <row r="255" spans="1:4" x14ac:dyDescent="0.3">
      <c r="A255" s="28">
        <v>43956</v>
      </c>
      <c r="B255" s="6">
        <v>3</v>
      </c>
      <c r="C255" s="6" t="s">
        <v>39</v>
      </c>
      <c r="D255" s="31">
        <v>87954.62000000001</v>
      </c>
    </row>
    <row r="256" spans="1:4" x14ac:dyDescent="0.3">
      <c r="A256" s="28">
        <v>43957</v>
      </c>
      <c r="B256" s="6">
        <v>3</v>
      </c>
      <c r="C256" s="6" t="s">
        <v>39</v>
      </c>
      <c r="D256" s="31">
        <v>86306.572</v>
      </c>
    </row>
    <row r="257" spans="1:4" x14ac:dyDescent="0.3">
      <c r="A257" s="28">
        <v>43958</v>
      </c>
      <c r="B257" s="6">
        <v>3</v>
      </c>
      <c r="C257" s="6" t="s">
        <v>39</v>
      </c>
      <c r="D257" s="31">
        <v>86797.066000000006</v>
      </c>
    </row>
    <row r="258" spans="1:4" x14ac:dyDescent="0.3">
      <c r="A258" s="28">
        <v>43959</v>
      </c>
      <c r="B258" s="6">
        <v>3</v>
      </c>
      <c r="C258" s="6" t="s">
        <v>39</v>
      </c>
      <c r="D258" s="31">
        <v>90603.263999999996</v>
      </c>
    </row>
    <row r="259" spans="1:4" x14ac:dyDescent="0.3">
      <c r="A259" s="28">
        <v>43962</v>
      </c>
      <c r="B259" s="6">
        <v>3</v>
      </c>
      <c r="C259" s="6" t="s">
        <v>39</v>
      </c>
      <c r="D259" s="31">
        <v>89740.005999999994</v>
      </c>
    </row>
    <row r="260" spans="1:4" x14ac:dyDescent="0.3">
      <c r="A260" s="28">
        <v>43963</v>
      </c>
      <c r="B260" s="6">
        <v>3</v>
      </c>
      <c r="C260" s="6" t="s">
        <v>39</v>
      </c>
      <c r="D260" s="31">
        <v>88239.998000000007</v>
      </c>
    </row>
    <row r="261" spans="1:4" x14ac:dyDescent="0.3">
      <c r="A261" s="28">
        <v>43964</v>
      </c>
      <c r="B261" s="6">
        <v>3</v>
      </c>
      <c r="C261" s="6" t="s">
        <v>39</v>
      </c>
      <c r="D261" s="31">
        <v>83860</v>
      </c>
    </row>
    <row r="262" spans="1:4" x14ac:dyDescent="0.3">
      <c r="A262" s="28">
        <v>43965</v>
      </c>
      <c r="B262" s="6">
        <v>3</v>
      </c>
      <c r="C262" s="6" t="s">
        <v>39</v>
      </c>
      <c r="D262" s="31">
        <v>84599.997999999992</v>
      </c>
    </row>
    <row r="263" spans="1:4" x14ac:dyDescent="0.3">
      <c r="A263" s="28">
        <v>43966</v>
      </c>
      <c r="B263" s="6">
        <v>3</v>
      </c>
      <c r="C263" s="6" t="s">
        <v>39</v>
      </c>
      <c r="D263" s="31">
        <v>84000</v>
      </c>
    </row>
    <row r="264" spans="1:4" x14ac:dyDescent="0.3">
      <c r="A264" s="28">
        <v>43969</v>
      </c>
      <c r="B264" s="6">
        <v>3</v>
      </c>
      <c r="C264" s="6" t="s">
        <v>39</v>
      </c>
      <c r="D264" s="31">
        <v>90680</v>
      </c>
    </row>
    <row r="265" spans="1:4" x14ac:dyDescent="0.3">
      <c r="A265" s="28">
        <v>43970</v>
      </c>
      <c r="B265" s="6">
        <v>3</v>
      </c>
      <c r="C265" s="6" t="s">
        <v>39</v>
      </c>
      <c r="D265" s="31">
        <v>87879.998000000007</v>
      </c>
    </row>
    <row r="266" spans="1:4" x14ac:dyDescent="0.3">
      <c r="A266" s="28">
        <v>43971</v>
      </c>
      <c r="B266" s="6">
        <v>3</v>
      </c>
      <c r="C266" s="6" t="s">
        <v>39</v>
      </c>
      <c r="D266" s="31">
        <v>90739.998000000007</v>
      </c>
    </row>
    <row r="267" spans="1:4" x14ac:dyDescent="0.3">
      <c r="A267" s="28">
        <v>43972</v>
      </c>
      <c r="B267" s="6">
        <v>3</v>
      </c>
      <c r="C267" s="6" t="s">
        <v>39</v>
      </c>
      <c r="D267" s="31">
        <v>89120.001999999993</v>
      </c>
    </row>
    <row r="268" spans="1:4" x14ac:dyDescent="0.3">
      <c r="A268" s="28">
        <v>43973</v>
      </c>
      <c r="B268" s="6">
        <v>3</v>
      </c>
      <c r="C268" s="6" t="s">
        <v>39</v>
      </c>
      <c r="D268" s="31">
        <v>89199.995999999999</v>
      </c>
    </row>
    <row r="269" spans="1:4" x14ac:dyDescent="0.3">
      <c r="A269" s="28">
        <v>43977</v>
      </c>
      <c r="B269" s="6">
        <v>3</v>
      </c>
      <c r="C269" s="6" t="s">
        <v>39</v>
      </c>
      <c r="D269" s="31">
        <v>91820</v>
      </c>
    </row>
    <row r="270" spans="1:4" x14ac:dyDescent="0.3">
      <c r="A270" s="28">
        <v>43978</v>
      </c>
      <c r="B270" s="6">
        <v>3</v>
      </c>
      <c r="C270" s="6" t="s">
        <v>39</v>
      </c>
      <c r="D270" s="31">
        <v>92480.004000000001</v>
      </c>
    </row>
    <row r="271" spans="1:4" x14ac:dyDescent="0.3">
      <c r="A271" s="28">
        <v>43979</v>
      </c>
      <c r="B271" s="6">
        <v>3</v>
      </c>
      <c r="C271" s="6" t="s">
        <v>39</v>
      </c>
      <c r="D271" s="31">
        <v>90080.001999999993</v>
      </c>
    </row>
    <row r="272" spans="1:4" x14ac:dyDescent="0.3">
      <c r="A272" s="28">
        <v>43980</v>
      </c>
      <c r="B272" s="6">
        <v>3</v>
      </c>
      <c r="C272" s="6" t="s">
        <v>39</v>
      </c>
      <c r="D272" s="31">
        <v>90940.002000000008</v>
      </c>
    </row>
    <row r="273" spans="1:4" x14ac:dyDescent="0.3">
      <c r="A273" s="28">
        <v>43983</v>
      </c>
      <c r="B273" s="6">
        <v>3</v>
      </c>
      <c r="C273" s="6" t="s">
        <v>39</v>
      </c>
      <c r="D273" s="31">
        <v>92559.997999999992</v>
      </c>
    </row>
    <row r="274" spans="1:4" x14ac:dyDescent="0.3">
      <c r="A274" s="28">
        <v>43984</v>
      </c>
      <c r="B274" s="6">
        <v>3</v>
      </c>
      <c r="C274" s="6" t="s">
        <v>39</v>
      </c>
      <c r="D274" s="31">
        <v>94620.001999999993</v>
      </c>
    </row>
    <row r="275" spans="1:4" x14ac:dyDescent="0.3">
      <c r="A275" s="28">
        <v>43985</v>
      </c>
      <c r="B275" s="6">
        <v>3</v>
      </c>
      <c r="C275" s="6" t="s">
        <v>39</v>
      </c>
      <c r="D275" s="31">
        <v>98480.004000000001</v>
      </c>
    </row>
    <row r="276" spans="1:4" x14ac:dyDescent="0.3">
      <c r="A276" s="28">
        <v>43986</v>
      </c>
      <c r="B276" s="6">
        <v>3</v>
      </c>
      <c r="C276" s="6" t="s">
        <v>39</v>
      </c>
      <c r="D276" s="31">
        <v>98199.995999999999</v>
      </c>
    </row>
    <row r="277" spans="1:4" x14ac:dyDescent="0.3">
      <c r="A277" s="28">
        <v>43987</v>
      </c>
      <c r="B277" s="6">
        <v>3</v>
      </c>
      <c r="C277" s="6" t="s">
        <v>39</v>
      </c>
      <c r="D277" s="31">
        <v>106160.004</v>
      </c>
    </row>
    <row r="278" spans="1:4" x14ac:dyDescent="0.3">
      <c r="A278" s="28">
        <v>43990</v>
      </c>
      <c r="B278" s="6">
        <v>3</v>
      </c>
      <c r="C278" s="6" t="s">
        <v>39</v>
      </c>
      <c r="D278" s="31">
        <v>109480.004</v>
      </c>
    </row>
    <row r="279" spans="1:4" x14ac:dyDescent="0.3">
      <c r="A279" s="28">
        <v>43991</v>
      </c>
      <c r="B279" s="6">
        <v>3</v>
      </c>
      <c r="C279" s="6" t="s">
        <v>39</v>
      </c>
      <c r="D279" s="31">
        <v>107040</v>
      </c>
    </row>
    <row r="280" spans="1:4" x14ac:dyDescent="0.3">
      <c r="A280" s="28">
        <v>43992</v>
      </c>
      <c r="B280" s="6">
        <v>3</v>
      </c>
      <c r="C280" s="6" t="s">
        <v>39</v>
      </c>
      <c r="D280" s="31">
        <v>101300.004</v>
      </c>
    </row>
    <row r="281" spans="1:4" x14ac:dyDescent="0.3">
      <c r="A281" s="28">
        <v>43993</v>
      </c>
      <c r="B281" s="6">
        <v>3</v>
      </c>
      <c r="C281" s="6" t="s">
        <v>39</v>
      </c>
      <c r="D281" s="31">
        <v>92360</v>
      </c>
    </row>
    <row r="282" spans="1:4" x14ac:dyDescent="0.3">
      <c r="A282" s="28">
        <v>43994</v>
      </c>
      <c r="B282" s="6">
        <v>3</v>
      </c>
      <c r="C282" s="6" t="s">
        <v>39</v>
      </c>
      <c r="D282" s="31">
        <v>94339.995999999999</v>
      </c>
    </row>
    <row r="283" spans="1:4" x14ac:dyDescent="0.3">
      <c r="A283" s="28">
        <v>43997</v>
      </c>
      <c r="B283" s="6">
        <v>3</v>
      </c>
      <c r="C283" s="6" t="s">
        <v>39</v>
      </c>
      <c r="D283" s="31">
        <v>94279.998000000007</v>
      </c>
    </row>
    <row r="284" spans="1:4" x14ac:dyDescent="0.3">
      <c r="A284" s="28">
        <v>43998</v>
      </c>
      <c r="B284" s="6">
        <v>3</v>
      </c>
      <c r="C284" s="6" t="s">
        <v>39</v>
      </c>
      <c r="D284" s="31">
        <v>96400.002000000008</v>
      </c>
    </row>
    <row r="285" spans="1:4" x14ac:dyDescent="0.3">
      <c r="A285" s="28">
        <v>43999</v>
      </c>
      <c r="B285" s="6">
        <v>3</v>
      </c>
      <c r="C285" s="6" t="s">
        <v>39</v>
      </c>
      <c r="D285" s="31">
        <v>93260.001999999993</v>
      </c>
    </row>
    <row r="286" spans="1:4" x14ac:dyDescent="0.3">
      <c r="A286" s="28">
        <v>44000</v>
      </c>
      <c r="B286" s="6">
        <v>3</v>
      </c>
      <c r="C286" s="6" t="s">
        <v>39</v>
      </c>
      <c r="D286" s="31">
        <v>93839.995999999999</v>
      </c>
    </row>
    <row r="287" spans="1:4" x14ac:dyDescent="0.3">
      <c r="A287" s="28">
        <v>44001</v>
      </c>
      <c r="B287" s="6">
        <v>3</v>
      </c>
      <c r="C287" s="6" t="s">
        <v>39</v>
      </c>
      <c r="D287" s="31">
        <v>91960</v>
      </c>
    </row>
    <row r="288" spans="1:4" x14ac:dyDescent="0.3">
      <c r="A288" s="28">
        <v>44004</v>
      </c>
      <c r="B288" s="6">
        <v>3</v>
      </c>
      <c r="C288" s="6" t="s">
        <v>39</v>
      </c>
      <c r="D288" s="31">
        <v>92839.995999999999</v>
      </c>
    </row>
    <row r="289" spans="1:4" x14ac:dyDescent="0.3">
      <c r="A289" s="28">
        <v>44005</v>
      </c>
      <c r="B289" s="6">
        <v>3</v>
      </c>
      <c r="C289" s="6" t="s">
        <v>39</v>
      </c>
      <c r="D289" s="31">
        <v>93400.002000000008</v>
      </c>
    </row>
    <row r="290" spans="1:4" x14ac:dyDescent="0.3">
      <c r="A290" s="28">
        <v>44006</v>
      </c>
      <c r="B290" s="6">
        <v>3</v>
      </c>
      <c r="C290" s="6" t="s">
        <v>39</v>
      </c>
      <c r="D290" s="31">
        <v>89000</v>
      </c>
    </row>
    <row r="291" spans="1:4" x14ac:dyDescent="0.3">
      <c r="A291" s="28">
        <v>44007</v>
      </c>
      <c r="B291" s="6">
        <v>3</v>
      </c>
      <c r="C291" s="6" t="s">
        <v>39</v>
      </c>
      <c r="D291" s="31">
        <v>90339.995999999999</v>
      </c>
    </row>
    <row r="292" spans="1:4" x14ac:dyDescent="0.3">
      <c r="A292" s="28">
        <v>44008</v>
      </c>
      <c r="B292" s="6">
        <v>3</v>
      </c>
      <c r="C292" s="6" t="s">
        <v>39</v>
      </c>
      <c r="D292" s="31">
        <v>87239.998000000007</v>
      </c>
    </row>
    <row r="293" spans="1:4" x14ac:dyDescent="0.3">
      <c r="A293" s="28">
        <v>44011</v>
      </c>
      <c r="B293" s="6">
        <v>3</v>
      </c>
      <c r="C293" s="6" t="s">
        <v>39</v>
      </c>
      <c r="D293" s="31">
        <v>88640</v>
      </c>
    </row>
    <row r="294" spans="1:4" x14ac:dyDescent="0.3">
      <c r="A294" s="28">
        <v>44012</v>
      </c>
      <c r="B294" s="6">
        <v>3</v>
      </c>
      <c r="C294" s="6" t="s">
        <v>39</v>
      </c>
      <c r="D294" s="31">
        <v>89440.002000000008</v>
      </c>
    </row>
    <row r="295" spans="1:4" x14ac:dyDescent="0.3">
      <c r="A295" s="28">
        <v>44013</v>
      </c>
      <c r="B295" s="6">
        <v>3</v>
      </c>
      <c r="C295" s="6" t="s">
        <v>39</v>
      </c>
      <c r="D295" s="31">
        <v>87419.998000000007</v>
      </c>
    </row>
    <row r="296" spans="1:4" x14ac:dyDescent="0.3">
      <c r="A296" s="28">
        <v>44014</v>
      </c>
      <c r="B296" s="6">
        <v>3</v>
      </c>
      <c r="C296" s="6" t="s">
        <v>39</v>
      </c>
      <c r="D296" s="31">
        <v>88160.004000000001</v>
      </c>
    </row>
    <row r="297" spans="1:4" x14ac:dyDescent="0.3">
      <c r="A297" s="28">
        <v>44018</v>
      </c>
      <c r="B297" s="6">
        <v>3</v>
      </c>
      <c r="C297" s="6" t="s">
        <v>39</v>
      </c>
      <c r="D297" s="31">
        <v>88779.998000000007</v>
      </c>
    </row>
    <row r="298" spans="1:4" x14ac:dyDescent="0.3">
      <c r="A298" s="28">
        <v>44019</v>
      </c>
      <c r="B298" s="6">
        <v>3</v>
      </c>
      <c r="C298" s="6" t="s">
        <v>39</v>
      </c>
      <c r="D298" s="31">
        <v>86480.004000000001</v>
      </c>
    </row>
    <row r="299" spans="1:4" x14ac:dyDescent="0.3">
      <c r="A299" s="28">
        <v>44020</v>
      </c>
      <c r="B299" s="6">
        <v>3</v>
      </c>
      <c r="C299" s="6" t="s">
        <v>39</v>
      </c>
      <c r="D299" s="31">
        <v>86279.998000000007</v>
      </c>
    </row>
    <row r="300" spans="1:4" x14ac:dyDescent="0.3">
      <c r="A300" s="28">
        <v>44021</v>
      </c>
      <c r="B300" s="6">
        <v>3</v>
      </c>
      <c r="C300" s="6" t="s">
        <v>39</v>
      </c>
      <c r="D300" s="31">
        <v>82720.001999999993</v>
      </c>
    </row>
    <row r="301" spans="1:4" x14ac:dyDescent="0.3">
      <c r="A301" s="28">
        <v>44022</v>
      </c>
      <c r="B301" s="6">
        <v>3</v>
      </c>
      <c r="C301" s="6" t="s">
        <v>39</v>
      </c>
      <c r="D301" s="31">
        <v>85300.004000000001</v>
      </c>
    </row>
    <row r="302" spans="1:4" x14ac:dyDescent="0.3">
      <c r="A302" s="28">
        <v>43880</v>
      </c>
      <c r="B302" s="6">
        <v>4</v>
      </c>
      <c r="C302" s="6" t="s">
        <v>42</v>
      </c>
      <c r="D302" s="31">
        <v>133039.18920103679</v>
      </c>
    </row>
    <row r="303" spans="1:4" x14ac:dyDescent="0.3">
      <c r="A303" s="28">
        <v>43881</v>
      </c>
      <c r="B303" s="6">
        <v>4</v>
      </c>
      <c r="C303" s="6" t="s">
        <v>42</v>
      </c>
      <c r="D303" s="31">
        <v>121940.50948307765</v>
      </c>
    </row>
    <row r="304" spans="1:4" x14ac:dyDescent="0.3">
      <c r="A304" s="28">
        <v>43882</v>
      </c>
      <c r="B304" s="6">
        <v>4</v>
      </c>
      <c r="C304" s="6" t="s">
        <v>42</v>
      </c>
      <c r="D304" s="31">
        <v>127248.35920513172</v>
      </c>
    </row>
    <row r="305" spans="1:4" x14ac:dyDescent="0.3">
      <c r="A305" s="28">
        <v>43885</v>
      </c>
      <c r="B305" s="6">
        <v>4</v>
      </c>
      <c r="C305" s="6" t="s">
        <v>42</v>
      </c>
      <c r="D305" s="31">
        <v>135880.61320373535</v>
      </c>
    </row>
    <row r="306" spans="1:4" x14ac:dyDescent="0.3">
      <c r="A306" s="28">
        <v>43886</v>
      </c>
      <c r="B306" s="6">
        <v>4</v>
      </c>
      <c r="C306" s="6" t="s">
        <v>42</v>
      </c>
      <c r="D306" s="31">
        <v>127013.921804978</v>
      </c>
    </row>
    <row r="307" spans="1:4" x14ac:dyDescent="0.3">
      <c r="A307" s="28">
        <v>43887</v>
      </c>
      <c r="B307" s="6">
        <v>4</v>
      </c>
      <c r="C307" s="6" t="s">
        <v>42</v>
      </c>
      <c r="D307" s="31">
        <v>126082.17532760308</v>
      </c>
    </row>
    <row r="308" spans="1:4" x14ac:dyDescent="0.3">
      <c r="A308" s="28">
        <v>43888</v>
      </c>
      <c r="B308" s="6">
        <v>4</v>
      </c>
      <c r="C308" s="6" t="s">
        <v>42</v>
      </c>
      <c r="D308" s="31">
        <v>125822.53303406756</v>
      </c>
    </row>
    <row r="309" spans="1:4" x14ac:dyDescent="0.3">
      <c r="A309" s="28">
        <v>43889</v>
      </c>
      <c r="B309" s="6">
        <v>4</v>
      </c>
      <c r="C309" s="6" t="s">
        <v>42</v>
      </c>
      <c r="D309" s="31">
        <v>122567.32651897584</v>
      </c>
    </row>
    <row r="310" spans="1:4" x14ac:dyDescent="0.3">
      <c r="A310" s="28">
        <v>43892</v>
      </c>
      <c r="B310" s="6">
        <v>4</v>
      </c>
      <c r="C310" s="6" t="s">
        <v>42</v>
      </c>
      <c r="D310" s="31">
        <v>136373.13912861058</v>
      </c>
    </row>
    <row r="311" spans="1:4" x14ac:dyDescent="0.3">
      <c r="A311" s="28">
        <v>43893</v>
      </c>
      <c r="B311" s="6">
        <v>4</v>
      </c>
      <c r="C311" s="6" t="s">
        <v>42</v>
      </c>
      <c r="D311" s="31">
        <v>122131.82390058698</v>
      </c>
    </row>
    <row r="312" spans="1:4" x14ac:dyDescent="0.3">
      <c r="A312" s="28">
        <v>43894</v>
      </c>
      <c r="B312" s="6">
        <v>4</v>
      </c>
      <c r="C312" s="6" t="s">
        <v>42</v>
      </c>
      <c r="D312" s="31">
        <v>141342.46070606538</v>
      </c>
    </row>
    <row r="313" spans="1:4" x14ac:dyDescent="0.3">
      <c r="A313" s="28">
        <v>43895</v>
      </c>
      <c r="B313" s="6">
        <v>4</v>
      </c>
      <c r="C313" s="6" t="s">
        <v>42</v>
      </c>
      <c r="D313" s="31">
        <v>131351.02013987963</v>
      </c>
    </row>
    <row r="314" spans="1:4" x14ac:dyDescent="0.3">
      <c r="A314" s="28">
        <v>43896</v>
      </c>
      <c r="B314" s="6">
        <v>4</v>
      </c>
      <c r="C314" s="6" t="s">
        <v>42</v>
      </c>
      <c r="D314" s="31">
        <v>150593.88685695097</v>
      </c>
    </row>
    <row r="315" spans="1:4" x14ac:dyDescent="0.3">
      <c r="A315" s="28">
        <v>43899</v>
      </c>
      <c r="B315" s="6">
        <v>4</v>
      </c>
      <c r="C315" s="6" t="s">
        <v>42</v>
      </c>
      <c r="D315" s="31">
        <v>135487.78280673624</v>
      </c>
    </row>
    <row r="316" spans="1:4" x14ac:dyDescent="0.3">
      <c r="A316" s="28">
        <v>43900</v>
      </c>
      <c r="B316" s="6">
        <v>4</v>
      </c>
      <c r="C316" s="6" t="s">
        <v>42</v>
      </c>
      <c r="D316" s="31">
        <v>123163.70364640852</v>
      </c>
    </row>
    <row r="317" spans="1:4" x14ac:dyDescent="0.3">
      <c r="A317" s="28">
        <v>43901</v>
      </c>
      <c r="B317" s="6">
        <v>4</v>
      </c>
      <c r="C317" s="6" t="s">
        <v>42</v>
      </c>
      <c r="D317" s="31">
        <v>133074.16391442216</v>
      </c>
    </row>
    <row r="318" spans="1:4" x14ac:dyDescent="0.3">
      <c r="A318" s="28">
        <v>43902</v>
      </c>
      <c r="B318" s="6">
        <v>4</v>
      </c>
      <c r="C318" s="6" t="s">
        <v>42</v>
      </c>
      <c r="D318" s="31">
        <v>134656.27495196825</v>
      </c>
    </row>
    <row r="319" spans="1:4" x14ac:dyDescent="0.3">
      <c r="A319" s="28">
        <v>43903</v>
      </c>
      <c r="B319" s="6">
        <v>4</v>
      </c>
      <c r="C319" s="6" t="s">
        <v>42</v>
      </c>
      <c r="D319" s="31">
        <v>151050.24811154249</v>
      </c>
    </row>
    <row r="320" spans="1:4" x14ac:dyDescent="0.3">
      <c r="A320" s="28">
        <v>43906</v>
      </c>
      <c r="B320" s="6">
        <v>4</v>
      </c>
      <c r="C320" s="6" t="s">
        <v>42</v>
      </c>
      <c r="D320" s="31">
        <v>169959.96764508105</v>
      </c>
    </row>
    <row r="321" spans="1:4" x14ac:dyDescent="0.3">
      <c r="A321" s="28">
        <v>43907</v>
      </c>
      <c r="B321" s="6">
        <v>4</v>
      </c>
      <c r="C321" s="6" t="s">
        <v>42</v>
      </c>
      <c r="D321" s="31">
        <v>121404.54796063931</v>
      </c>
    </row>
    <row r="322" spans="1:4" x14ac:dyDescent="0.3">
      <c r="A322" s="28">
        <v>43908</v>
      </c>
      <c r="B322" s="6">
        <v>4</v>
      </c>
      <c r="C322" s="6" t="s">
        <v>42</v>
      </c>
      <c r="D322" s="31">
        <v>163031.46504735338</v>
      </c>
    </row>
    <row r="323" spans="1:4" x14ac:dyDescent="0.3">
      <c r="A323" s="28">
        <v>43909</v>
      </c>
      <c r="B323" s="6">
        <v>4</v>
      </c>
      <c r="C323" s="6" t="s">
        <v>42</v>
      </c>
      <c r="D323" s="31">
        <v>145580.20875281445</v>
      </c>
    </row>
    <row r="324" spans="1:4" x14ac:dyDescent="0.3">
      <c r="A324" s="28">
        <v>43910</v>
      </c>
      <c r="B324" s="6">
        <v>4</v>
      </c>
      <c r="C324" s="6" t="s">
        <v>42</v>
      </c>
      <c r="D324" s="31">
        <v>164785.49522534767</v>
      </c>
    </row>
    <row r="325" spans="1:4" x14ac:dyDescent="0.3">
      <c r="A325" s="28">
        <v>43913</v>
      </c>
      <c r="B325" s="6">
        <v>4</v>
      </c>
      <c r="C325" s="6" t="s">
        <v>42</v>
      </c>
      <c r="D325" s="31">
        <v>163532.63889361685</v>
      </c>
    </row>
    <row r="326" spans="1:4" x14ac:dyDescent="0.3">
      <c r="A326" s="28">
        <v>43914</v>
      </c>
      <c r="B326" s="6">
        <v>4</v>
      </c>
      <c r="C326" s="6" t="s">
        <v>42</v>
      </c>
      <c r="D326" s="31">
        <v>130962.16556881189</v>
      </c>
    </row>
    <row r="327" spans="1:4" x14ac:dyDescent="0.3">
      <c r="A327" s="28">
        <v>43915</v>
      </c>
      <c r="B327" s="6">
        <v>4</v>
      </c>
      <c r="C327" s="6" t="s">
        <v>42</v>
      </c>
      <c r="D327" s="31">
        <v>169595.33906920243</v>
      </c>
    </row>
    <row r="328" spans="1:4" x14ac:dyDescent="0.3">
      <c r="A328" s="28">
        <v>43916</v>
      </c>
      <c r="B328" s="6">
        <v>4</v>
      </c>
      <c r="C328" s="6" t="s">
        <v>42</v>
      </c>
      <c r="D328" s="31">
        <v>135174.84602033132</v>
      </c>
    </row>
    <row r="329" spans="1:4" x14ac:dyDescent="0.3">
      <c r="A329" s="28">
        <v>43917</v>
      </c>
      <c r="B329" s="6">
        <v>4</v>
      </c>
      <c r="C329" s="6" t="s">
        <v>42</v>
      </c>
      <c r="D329" s="31">
        <v>150193.82712938249</v>
      </c>
    </row>
    <row r="330" spans="1:4" x14ac:dyDescent="0.3">
      <c r="A330" s="28">
        <v>43920</v>
      </c>
      <c r="B330" s="6">
        <v>4</v>
      </c>
      <c r="C330" s="6" t="s">
        <v>42</v>
      </c>
      <c r="D330" s="31">
        <v>134199.89587602866</v>
      </c>
    </row>
    <row r="331" spans="1:4" x14ac:dyDescent="0.3">
      <c r="A331" s="28">
        <v>43921</v>
      </c>
      <c r="B331" s="6">
        <v>4</v>
      </c>
      <c r="C331" s="6" t="s">
        <v>42</v>
      </c>
      <c r="D331" s="31">
        <v>140214.5963751477</v>
      </c>
    </row>
    <row r="332" spans="1:4" x14ac:dyDescent="0.3">
      <c r="A332" s="28">
        <v>43922</v>
      </c>
      <c r="B332" s="6">
        <v>4</v>
      </c>
      <c r="C332" s="6" t="s">
        <v>42</v>
      </c>
      <c r="D332" s="31">
        <v>176134.96536697785</v>
      </c>
    </row>
    <row r="333" spans="1:4" x14ac:dyDescent="0.3">
      <c r="A333" s="28">
        <v>43923</v>
      </c>
      <c r="B333" s="6">
        <v>4</v>
      </c>
      <c r="C333" s="6" t="s">
        <v>42</v>
      </c>
      <c r="D333" s="31">
        <v>148085.80282516879</v>
      </c>
    </row>
    <row r="334" spans="1:4" x14ac:dyDescent="0.3">
      <c r="A334" s="28">
        <v>43924</v>
      </c>
      <c r="B334" s="6">
        <v>4</v>
      </c>
      <c r="C334" s="6" t="s">
        <v>42</v>
      </c>
      <c r="D334" s="31">
        <v>141277.81289753004</v>
      </c>
    </row>
    <row r="335" spans="1:4" x14ac:dyDescent="0.3">
      <c r="A335" s="28">
        <v>43927</v>
      </c>
      <c r="B335" s="6">
        <v>4</v>
      </c>
      <c r="C335" s="6" t="s">
        <v>42</v>
      </c>
      <c r="D335" s="31">
        <v>138201.52667228322</v>
      </c>
    </row>
    <row r="336" spans="1:4" x14ac:dyDescent="0.3">
      <c r="A336" s="28">
        <v>43928</v>
      </c>
      <c r="B336" s="6">
        <v>4</v>
      </c>
      <c r="C336" s="6" t="s">
        <v>42</v>
      </c>
      <c r="D336" s="31">
        <v>165451.93034755564</v>
      </c>
    </row>
    <row r="337" spans="1:4" x14ac:dyDescent="0.3">
      <c r="A337" s="28">
        <v>43929</v>
      </c>
      <c r="B337" s="6">
        <v>4</v>
      </c>
      <c r="C337" s="6" t="s">
        <v>42</v>
      </c>
      <c r="D337" s="31">
        <v>138428.87928642333</v>
      </c>
    </row>
    <row r="338" spans="1:4" x14ac:dyDescent="0.3">
      <c r="A338" s="28">
        <v>43930</v>
      </c>
      <c r="B338" s="6">
        <v>4</v>
      </c>
      <c r="C338" s="6" t="s">
        <v>42</v>
      </c>
      <c r="D338" s="31">
        <v>160811.13467116925</v>
      </c>
    </row>
    <row r="339" spans="1:4" x14ac:dyDescent="0.3">
      <c r="A339" s="28">
        <v>43934</v>
      </c>
      <c r="B339" s="6">
        <v>4</v>
      </c>
      <c r="C339" s="6" t="s">
        <v>42</v>
      </c>
      <c r="D339" s="31">
        <v>126863.68714817098</v>
      </c>
    </row>
    <row r="340" spans="1:4" x14ac:dyDescent="0.3">
      <c r="A340" s="28">
        <v>43935</v>
      </c>
      <c r="B340" s="6">
        <v>4</v>
      </c>
      <c r="C340" s="6" t="s">
        <v>42</v>
      </c>
      <c r="D340" s="31">
        <v>147953.19947152963</v>
      </c>
    </row>
    <row r="341" spans="1:4" x14ac:dyDescent="0.3">
      <c r="A341" s="28">
        <v>43936</v>
      </c>
      <c r="B341" s="6">
        <v>4</v>
      </c>
      <c r="C341" s="6" t="s">
        <v>42</v>
      </c>
      <c r="D341" s="31">
        <v>131815.57825311236</v>
      </c>
    </row>
    <row r="342" spans="1:4" x14ac:dyDescent="0.3">
      <c r="A342" s="28">
        <v>43937</v>
      </c>
      <c r="B342" s="6">
        <v>4</v>
      </c>
      <c r="C342" s="6" t="s">
        <v>42</v>
      </c>
      <c r="D342" s="31">
        <v>145806.41901457941</v>
      </c>
    </row>
    <row r="343" spans="1:4" x14ac:dyDescent="0.3">
      <c r="A343" s="28">
        <v>43938</v>
      </c>
      <c r="B343" s="6">
        <v>4</v>
      </c>
      <c r="C343" s="6" t="s">
        <v>42</v>
      </c>
      <c r="D343" s="31">
        <v>154951.5729882897</v>
      </c>
    </row>
    <row r="344" spans="1:4" x14ac:dyDescent="0.3">
      <c r="A344" s="28">
        <v>43941</v>
      </c>
      <c r="B344" s="6">
        <v>4</v>
      </c>
      <c r="C344" s="6" t="s">
        <v>42</v>
      </c>
      <c r="D344" s="31">
        <v>159130.25335550902</v>
      </c>
    </row>
    <row r="345" spans="1:4" x14ac:dyDescent="0.3">
      <c r="A345" s="28">
        <v>43942</v>
      </c>
      <c r="B345" s="6">
        <v>4</v>
      </c>
      <c r="C345" s="6" t="s">
        <v>42</v>
      </c>
      <c r="D345" s="31">
        <v>173300.16258454995</v>
      </c>
    </row>
    <row r="346" spans="1:4" x14ac:dyDescent="0.3">
      <c r="A346" s="28">
        <v>43943</v>
      </c>
      <c r="B346" s="6">
        <v>4</v>
      </c>
      <c r="C346" s="6" t="s">
        <v>42</v>
      </c>
      <c r="D346" s="31">
        <v>144826.50848661692</v>
      </c>
    </row>
    <row r="347" spans="1:4" x14ac:dyDescent="0.3">
      <c r="A347" s="28">
        <v>43944</v>
      </c>
      <c r="B347" s="6">
        <v>4</v>
      </c>
      <c r="C347" s="6" t="s">
        <v>42</v>
      </c>
      <c r="D347" s="31">
        <v>146247.00614183009</v>
      </c>
    </row>
    <row r="348" spans="1:4" x14ac:dyDescent="0.3">
      <c r="A348" s="28">
        <v>43945</v>
      </c>
      <c r="B348" s="6">
        <v>4</v>
      </c>
      <c r="C348" s="6" t="s">
        <v>42</v>
      </c>
      <c r="D348" s="31">
        <v>151073.58719414362</v>
      </c>
    </row>
    <row r="349" spans="1:4" x14ac:dyDescent="0.3">
      <c r="A349" s="28">
        <v>43948</v>
      </c>
      <c r="B349" s="6">
        <v>4</v>
      </c>
      <c r="C349" s="6" t="s">
        <v>42</v>
      </c>
      <c r="D349" s="31">
        <v>148056.29942424275</v>
      </c>
    </row>
    <row r="350" spans="1:4" x14ac:dyDescent="0.3">
      <c r="A350" s="28">
        <v>43949</v>
      </c>
      <c r="B350" s="6">
        <v>4</v>
      </c>
      <c r="C350" s="6" t="s">
        <v>42</v>
      </c>
      <c r="D350" s="31">
        <v>144474.9696936167</v>
      </c>
    </row>
    <row r="351" spans="1:4" x14ac:dyDescent="0.3">
      <c r="A351" s="28">
        <v>43950</v>
      </c>
      <c r="B351" s="6">
        <v>4</v>
      </c>
      <c r="C351" s="6" t="s">
        <v>42</v>
      </c>
      <c r="D351" s="31">
        <v>150872.73483774572</v>
      </c>
    </row>
    <row r="352" spans="1:4" x14ac:dyDescent="0.3">
      <c r="A352" s="28">
        <v>43951</v>
      </c>
      <c r="B352" s="6">
        <v>4</v>
      </c>
      <c r="C352" s="6" t="s">
        <v>42</v>
      </c>
      <c r="D352" s="31">
        <v>141372.29915664985</v>
      </c>
    </row>
    <row r="353" spans="1:4" x14ac:dyDescent="0.3">
      <c r="A353" s="28">
        <v>43952</v>
      </c>
      <c r="B353" s="6">
        <v>4</v>
      </c>
      <c r="C353" s="6" t="s">
        <v>42</v>
      </c>
      <c r="D353" s="31">
        <v>176665.12301587989</v>
      </c>
    </row>
    <row r="354" spans="1:4" x14ac:dyDescent="0.3">
      <c r="A354" s="28">
        <v>43955</v>
      </c>
      <c r="B354" s="6">
        <v>4</v>
      </c>
      <c r="C354" s="6" t="s">
        <v>42</v>
      </c>
      <c r="D354" s="31">
        <v>139554.82825858315</v>
      </c>
    </row>
    <row r="355" spans="1:4" x14ac:dyDescent="0.3">
      <c r="A355" s="28">
        <v>43956</v>
      </c>
      <c r="B355" s="6">
        <v>4</v>
      </c>
      <c r="C355" s="6" t="s">
        <v>42</v>
      </c>
      <c r="D355" s="31">
        <v>141301.0679620521</v>
      </c>
    </row>
    <row r="356" spans="1:4" x14ac:dyDescent="0.3">
      <c r="A356" s="28">
        <v>43957</v>
      </c>
      <c r="B356" s="6">
        <v>4</v>
      </c>
      <c r="C356" s="6" t="s">
        <v>42</v>
      </c>
      <c r="D356" s="31">
        <v>157765.79471734658</v>
      </c>
    </row>
    <row r="357" spans="1:4" x14ac:dyDescent="0.3">
      <c r="A357" s="28">
        <v>43958</v>
      </c>
      <c r="B357" s="6">
        <v>4</v>
      </c>
      <c r="C357" s="6" t="s">
        <v>42</v>
      </c>
      <c r="D357" s="31">
        <v>179305.7267058054</v>
      </c>
    </row>
    <row r="358" spans="1:4" x14ac:dyDescent="0.3">
      <c r="A358" s="28">
        <v>43959</v>
      </c>
      <c r="B358" s="6">
        <v>4</v>
      </c>
      <c r="C358" s="6" t="s">
        <v>42</v>
      </c>
      <c r="D358" s="31">
        <v>169765.63762790227</v>
      </c>
    </row>
    <row r="359" spans="1:4" x14ac:dyDescent="0.3">
      <c r="A359" s="28">
        <v>43962</v>
      </c>
      <c r="B359" s="6">
        <v>4</v>
      </c>
      <c r="C359" s="6" t="s">
        <v>42</v>
      </c>
      <c r="D359" s="31">
        <v>145724.85714042856</v>
      </c>
    </row>
    <row r="360" spans="1:4" x14ac:dyDescent="0.3">
      <c r="A360" s="28">
        <v>43963</v>
      </c>
      <c r="B360" s="6">
        <v>4</v>
      </c>
      <c r="C360" s="6" t="s">
        <v>42</v>
      </c>
      <c r="D360" s="31">
        <v>141081.08854728367</v>
      </c>
    </row>
    <row r="361" spans="1:4" x14ac:dyDescent="0.3">
      <c r="A361" s="28">
        <v>43964</v>
      </c>
      <c r="B361" s="6">
        <v>4</v>
      </c>
      <c r="C361" s="6" t="s">
        <v>42</v>
      </c>
      <c r="D361" s="31">
        <v>180720.57510651555</v>
      </c>
    </row>
    <row r="362" spans="1:4" x14ac:dyDescent="0.3">
      <c r="A362" s="28">
        <v>43965</v>
      </c>
      <c r="B362" s="6">
        <v>4</v>
      </c>
      <c r="C362" s="6" t="s">
        <v>42</v>
      </c>
      <c r="D362" s="31">
        <v>185485.09495421668</v>
      </c>
    </row>
    <row r="363" spans="1:4" x14ac:dyDescent="0.3">
      <c r="A363" s="28">
        <v>43966</v>
      </c>
      <c r="B363" s="6">
        <v>4</v>
      </c>
      <c r="C363" s="6" t="s">
        <v>42</v>
      </c>
      <c r="D363" s="31">
        <v>172195.30322241219</v>
      </c>
    </row>
    <row r="364" spans="1:4" x14ac:dyDescent="0.3">
      <c r="A364" s="28">
        <v>43969</v>
      </c>
      <c r="B364" s="6">
        <v>4</v>
      </c>
      <c r="C364" s="6" t="s">
        <v>42</v>
      </c>
      <c r="D364" s="31">
        <v>178228.1390948311</v>
      </c>
    </row>
    <row r="365" spans="1:4" x14ac:dyDescent="0.3">
      <c r="A365" s="28">
        <v>43970</v>
      </c>
      <c r="B365" s="6">
        <v>4</v>
      </c>
      <c r="C365" s="6" t="s">
        <v>42</v>
      </c>
      <c r="D365" s="31">
        <v>183577.99167654241</v>
      </c>
    </row>
    <row r="366" spans="1:4" x14ac:dyDescent="0.3">
      <c r="A366" s="28">
        <v>43971</v>
      </c>
      <c r="B366" s="6">
        <v>4</v>
      </c>
      <c r="C366" s="6" t="s">
        <v>42</v>
      </c>
      <c r="D366" s="31">
        <v>154678.86415426672</v>
      </c>
    </row>
    <row r="367" spans="1:4" x14ac:dyDescent="0.3">
      <c r="A367" s="28">
        <v>43972</v>
      </c>
      <c r="B367" s="6">
        <v>4</v>
      </c>
      <c r="C367" s="6" t="s">
        <v>42</v>
      </c>
      <c r="D367" s="31">
        <v>156028.02894860419</v>
      </c>
    </row>
    <row r="368" spans="1:4" x14ac:dyDescent="0.3">
      <c r="A368" s="28">
        <v>43973</v>
      </c>
      <c r="B368" s="6">
        <v>4</v>
      </c>
      <c r="C368" s="6" t="s">
        <v>42</v>
      </c>
      <c r="D368" s="31">
        <v>143730.17144139652</v>
      </c>
    </row>
    <row r="369" spans="1:4" x14ac:dyDescent="0.3">
      <c r="A369" s="28">
        <v>43977</v>
      </c>
      <c r="B369" s="6">
        <v>4</v>
      </c>
      <c r="C369" s="6" t="s">
        <v>42</v>
      </c>
      <c r="D369" s="31">
        <v>165930.32240851456</v>
      </c>
    </row>
    <row r="370" spans="1:4" x14ac:dyDescent="0.3">
      <c r="A370" s="28">
        <v>43978</v>
      </c>
      <c r="B370" s="6">
        <v>4</v>
      </c>
      <c r="C370" s="6" t="s">
        <v>42</v>
      </c>
      <c r="D370" s="31">
        <v>163827.8676164459</v>
      </c>
    </row>
    <row r="371" spans="1:4" x14ac:dyDescent="0.3">
      <c r="A371" s="28">
        <v>43979</v>
      </c>
      <c r="B371" s="6">
        <v>4</v>
      </c>
      <c r="C371" s="6" t="s">
        <v>42</v>
      </c>
      <c r="D371" s="31">
        <v>163486.70554418131</v>
      </c>
    </row>
    <row r="372" spans="1:4" x14ac:dyDescent="0.3">
      <c r="A372" s="28">
        <v>43980</v>
      </c>
      <c r="B372" s="6">
        <v>4</v>
      </c>
      <c r="C372" s="6" t="s">
        <v>42</v>
      </c>
      <c r="D372" s="31">
        <v>159599.7849379729</v>
      </c>
    </row>
    <row r="373" spans="1:4" x14ac:dyDescent="0.3">
      <c r="A373" s="28">
        <v>43983</v>
      </c>
      <c r="B373" s="6">
        <v>4</v>
      </c>
      <c r="C373" s="6" t="s">
        <v>42</v>
      </c>
      <c r="D373" s="31">
        <v>165089.41318463295</v>
      </c>
    </row>
    <row r="374" spans="1:4" x14ac:dyDescent="0.3">
      <c r="A374" s="28">
        <v>43984</v>
      </c>
      <c r="B374" s="6">
        <v>4</v>
      </c>
      <c r="C374" s="6" t="s">
        <v>42</v>
      </c>
      <c r="D374" s="31">
        <v>182899.74811483538</v>
      </c>
    </row>
    <row r="375" spans="1:4" x14ac:dyDescent="0.3">
      <c r="A375" s="28">
        <v>43985</v>
      </c>
      <c r="B375" s="6">
        <v>4</v>
      </c>
      <c r="C375" s="6" t="s">
        <v>42</v>
      </c>
      <c r="D375" s="31">
        <v>169989.94923458347</v>
      </c>
    </row>
    <row r="376" spans="1:4" x14ac:dyDescent="0.3">
      <c r="A376" s="28">
        <v>43986</v>
      </c>
      <c r="B376" s="6">
        <v>4</v>
      </c>
      <c r="C376" s="6" t="s">
        <v>42</v>
      </c>
      <c r="D376" s="31">
        <v>160843.00879247786</v>
      </c>
    </row>
    <row r="377" spans="1:4" x14ac:dyDescent="0.3">
      <c r="A377" s="28">
        <v>43987</v>
      </c>
      <c r="B377" s="6">
        <v>4</v>
      </c>
      <c r="C377" s="6" t="s">
        <v>42</v>
      </c>
      <c r="D377" s="31">
        <v>164335.48916146898</v>
      </c>
    </row>
    <row r="378" spans="1:4" x14ac:dyDescent="0.3">
      <c r="A378" s="28">
        <v>43990</v>
      </c>
      <c r="B378" s="6">
        <v>4</v>
      </c>
      <c r="C378" s="6" t="s">
        <v>42</v>
      </c>
      <c r="D378" s="31">
        <v>152726.23136215025</v>
      </c>
    </row>
    <row r="379" spans="1:4" x14ac:dyDescent="0.3">
      <c r="A379" s="28">
        <v>43991</v>
      </c>
      <c r="B379" s="6">
        <v>4</v>
      </c>
      <c r="C379" s="6" t="s">
        <v>42</v>
      </c>
      <c r="D379" s="31">
        <v>180384.42980725845</v>
      </c>
    </row>
    <row r="380" spans="1:4" x14ac:dyDescent="0.3">
      <c r="A380" s="28">
        <v>43992</v>
      </c>
      <c r="B380" s="6">
        <v>4</v>
      </c>
      <c r="C380" s="6" t="s">
        <v>42</v>
      </c>
      <c r="D380" s="31">
        <v>175976.29778525719</v>
      </c>
    </row>
    <row r="381" spans="1:4" x14ac:dyDescent="0.3">
      <c r="A381" s="28">
        <v>43993</v>
      </c>
      <c r="B381" s="6">
        <v>4</v>
      </c>
      <c r="C381" s="6" t="s">
        <v>42</v>
      </c>
      <c r="D381" s="31">
        <v>147724.36831437968</v>
      </c>
    </row>
    <row r="382" spans="1:4" x14ac:dyDescent="0.3">
      <c r="A382" s="28">
        <v>43994</v>
      </c>
      <c r="B382" s="6">
        <v>4</v>
      </c>
      <c r="C382" s="6" t="s">
        <v>42</v>
      </c>
      <c r="D382" s="31">
        <v>171480.5396996761</v>
      </c>
    </row>
    <row r="383" spans="1:4" x14ac:dyDescent="0.3">
      <c r="A383" s="28">
        <v>43997</v>
      </c>
      <c r="B383" s="6">
        <v>4</v>
      </c>
      <c r="C383" s="6" t="s">
        <v>42</v>
      </c>
      <c r="D383" s="31">
        <v>172535.07833316259</v>
      </c>
    </row>
    <row r="384" spans="1:4" x14ac:dyDescent="0.3">
      <c r="A384" s="28">
        <v>43998</v>
      </c>
      <c r="B384" s="6">
        <v>4</v>
      </c>
      <c r="C384" s="6" t="s">
        <v>42</v>
      </c>
      <c r="D384" s="31">
        <v>172322.73452593427</v>
      </c>
    </row>
    <row r="385" spans="1:4" x14ac:dyDescent="0.3">
      <c r="A385" s="28">
        <v>43999</v>
      </c>
      <c r="B385" s="6">
        <v>4</v>
      </c>
      <c r="C385" s="6" t="s">
        <v>42</v>
      </c>
      <c r="D385" s="31">
        <v>159341.82386190118</v>
      </c>
    </row>
    <row r="386" spans="1:4" x14ac:dyDescent="0.3">
      <c r="A386" s="28">
        <v>44000</v>
      </c>
      <c r="B386" s="6">
        <v>4</v>
      </c>
      <c r="C386" s="6" t="s">
        <v>42</v>
      </c>
      <c r="D386" s="31">
        <v>178398.2327950582</v>
      </c>
    </row>
    <row r="387" spans="1:4" x14ac:dyDescent="0.3">
      <c r="A387" s="28">
        <v>44001</v>
      </c>
      <c r="B387" s="6">
        <v>4</v>
      </c>
      <c r="C387" s="6" t="s">
        <v>42</v>
      </c>
      <c r="D387" s="31">
        <v>183580.38786672911</v>
      </c>
    </row>
    <row r="388" spans="1:4" x14ac:dyDescent="0.3">
      <c r="A388" s="28">
        <v>44004</v>
      </c>
      <c r="B388" s="6">
        <v>4</v>
      </c>
      <c r="C388" s="6" t="s">
        <v>42</v>
      </c>
      <c r="D388" s="31">
        <v>178028.921035743</v>
      </c>
    </row>
    <row r="389" spans="1:4" x14ac:dyDescent="0.3">
      <c r="A389" s="28">
        <v>44005</v>
      </c>
      <c r="B389" s="6">
        <v>4</v>
      </c>
      <c r="C389" s="6" t="s">
        <v>42</v>
      </c>
      <c r="D389" s="31">
        <v>157411.71447306874</v>
      </c>
    </row>
    <row r="390" spans="1:4" x14ac:dyDescent="0.3">
      <c r="A390" s="28">
        <v>44006</v>
      </c>
      <c r="B390" s="6">
        <v>4</v>
      </c>
      <c r="C390" s="6" t="s">
        <v>42</v>
      </c>
      <c r="D390" s="31">
        <v>173951.30123238295</v>
      </c>
    </row>
    <row r="391" spans="1:4" x14ac:dyDescent="0.3">
      <c r="A391" s="28">
        <v>44007</v>
      </c>
      <c r="B391" s="6">
        <v>4</v>
      </c>
      <c r="C391" s="6" t="s">
        <v>42</v>
      </c>
      <c r="D391" s="31">
        <v>181645.34068389278</v>
      </c>
    </row>
    <row r="392" spans="1:4" x14ac:dyDescent="0.3">
      <c r="A392" s="28">
        <v>44008</v>
      </c>
      <c r="B392" s="6">
        <v>4</v>
      </c>
      <c r="C392" s="6" t="s">
        <v>42</v>
      </c>
      <c r="D392" s="31">
        <v>187243.42847787467</v>
      </c>
    </row>
    <row r="393" spans="1:4" x14ac:dyDescent="0.3">
      <c r="A393" s="28">
        <v>44011</v>
      </c>
      <c r="B393" s="6">
        <v>4</v>
      </c>
      <c r="C393" s="6" t="s">
        <v>42</v>
      </c>
      <c r="D393" s="31">
        <v>188780.14154337381</v>
      </c>
    </row>
    <row r="394" spans="1:4" x14ac:dyDescent="0.3">
      <c r="A394" s="28">
        <v>44012</v>
      </c>
      <c r="B394" s="6">
        <v>4</v>
      </c>
      <c r="C394" s="6" t="s">
        <v>42</v>
      </c>
      <c r="D394" s="31">
        <v>177080.2327644254</v>
      </c>
    </row>
    <row r="395" spans="1:4" x14ac:dyDescent="0.3">
      <c r="A395" s="28">
        <v>44013</v>
      </c>
      <c r="B395" s="6">
        <v>4</v>
      </c>
      <c r="C395" s="6" t="s">
        <v>42</v>
      </c>
      <c r="D395" s="31">
        <v>172555.4906801394</v>
      </c>
    </row>
    <row r="396" spans="1:4" x14ac:dyDescent="0.3">
      <c r="A396" s="28">
        <v>44014</v>
      </c>
      <c r="B396" s="6">
        <v>4</v>
      </c>
      <c r="C396" s="6" t="s">
        <v>42</v>
      </c>
      <c r="D396" s="31">
        <v>189230.97827574969</v>
      </c>
    </row>
    <row r="397" spans="1:4" x14ac:dyDescent="0.3">
      <c r="A397" s="28">
        <v>44018</v>
      </c>
      <c r="B397" s="6">
        <v>4</v>
      </c>
      <c r="C397" s="6" t="s">
        <v>42</v>
      </c>
      <c r="D397" s="31">
        <v>183893.49209773276</v>
      </c>
    </row>
    <row r="398" spans="1:4" x14ac:dyDescent="0.3">
      <c r="A398" s="28">
        <v>44019</v>
      </c>
      <c r="B398" s="6">
        <v>4</v>
      </c>
      <c r="C398" s="6" t="s">
        <v>42</v>
      </c>
      <c r="D398" s="31">
        <v>172475.03690551821</v>
      </c>
    </row>
    <row r="399" spans="1:4" x14ac:dyDescent="0.3">
      <c r="A399" s="28">
        <v>44020</v>
      </c>
      <c r="B399" s="6">
        <v>4</v>
      </c>
      <c r="C399" s="6" t="s">
        <v>42</v>
      </c>
      <c r="D399" s="31">
        <v>186053.64904550678</v>
      </c>
    </row>
    <row r="400" spans="1:4" x14ac:dyDescent="0.3">
      <c r="A400" s="28">
        <v>44021</v>
      </c>
      <c r="B400" s="6">
        <v>4</v>
      </c>
      <c r="C400" s="6" t="s">
        <v>42</v>
      </c>
      <c r="D400" s="31">
        <v>176787.02816494473</v>
      </c>
    </row>
    <row r="401" spans="1:4" x14ac:dyDescent="0.3">
      <c r="A401" s="28">
        <v>44022</v>
      </c>
      <c r="B401" s="6">
        <v>4</v>
      </c>
      <c r="C401" s="6" t="s">
        <v>42</v>
      </c>
      <c r="D401" s="31">
        <v>185755.06457671543</v>
      </c>
    </row>
    <row r="402" spans="1:4" x14ac:dyDescent="0.3">
      <c r="A402" s="28">
        <v>43880</v>
      </c>
      <c r="B402" s="6">
        <v>5</v>
      </c>
      <c r="C402" s="6" t="s">
        <v>43</v>
      </c>
      <c r="D402" s="31">
        <v>91047.050887500969</v>
      </c>
    </row>
    <row r="403" spans="1:4" x14ac:dyDescent="0.3">
      <c r="A403" s="28">
        <v>43881</v>
      </c>
      <c r="B403" s="6">
        <v>5</v>
      </c>
      <c r="C403" s="6" t="s">
        <v>43</v>
      </c>
      <c r="D403" s="31">
        <v>87471.797001227067</v>
      </c>
    </row>
    <row r="404" spans="1:4" x14ac:dyDescent="0.3">
      <c r="A404" s="28">
        <v>43882</v>
      </c>
      <c r="B404" s="6">
        <v>5</v>
      </c>
      <c r="C404" s="6" t="s">
        <v>43</v>
      </c>
      <c r="D404" s="31">
        <v>89214.864839769492</v>
      </c>
    </row>
    <row r="405" spans="1:4" x14ac:dyDescent="0.3">
      <c r="A405" s="28">
        <v>43885</v>
      </c>
      <c r="B405" s="6">
        <v>5</v>
      </c>
      <c r="C405" s="6" t="s">
        <v>43</v>
      </c>
      <c r="D405" s="31">
        <v>91936.500809593053</v>
      </c>
    </row>
    <row r="406" spans="1:4" x14ac:dyDescent="0.3">
      <c r="A406" s="28">
        <v>43886</v>
      </c>
      <c r="B406" s="6">
        <v>5</v>
      </c>
      <c r="C406" s="6" t="s">
        <v>43</v>
      </c>
      <c r="D406" s="31">
        <v>89148.764147585462</v>
      </c>
    </row>
    <row r="407" spans="1:4" x14ac:dyDescent="0.3">
      <c r="A407" s="28">
        <v>43887</v>
      </c>
      <c r="B407" s="6">
        <v>5</v>
      </c>
      <c r="C407" s="6" t="s">
        <v>43</v>
      </c>
      <c r="D407" s="31">
        <v>88849.461554378009</v>
      </c>
    </row>
    <row r="408" spans="1:4" x14ac:dyDescent="0.3">
      <c r="A408" s="28">
        <v>43888</v>
      </c>
      <c r="B408" s="6">
        <v>5</v>
      </c>
      <c r="C408" s="6" t="s">
        <v>43</v>
      </c>
      <c r="D408" s="31">
        <v>88767.526551810093</v>
      </c>
    </row>
    <row r="409" spans="1:4" x14ac:dyDescent="0.3">
      <c r="A409" s="28">
        <v>43889</v>
      </c>
      <c r="B409" s="6">
        <v>5</v>
      </c>
      <c r="C409" s="6" t="s">
        <v>43</v>
      </c>
      <c r="D409" s="31">
        <v>87700.820475089888</v>
      </c>
    </row>
    <row r="410" spans="1:4" x14ac:dyDescent="0.3">
      <c r="A410" s="28">
        <v>43892</v>
      </c>
      <c r="B410" s="6">
        <v>5</v>
      </c>
      <c r="C410" s="6" t="s">
        <v>43</v>
      </c>
      <c r="D410" s="31">
        <v>92101.734687685137</v>
      </c>
    </row>
    <row r="411" spans="1:4" x14ac:dyDescent="0.3">
      <c r="A411" s="28">
        <v>43893</v>
      </c>
      <c r="B411" s="6">
        <v>5</v>
      </c>
      <c r="C411" s="6" t="s">
        <v>43</v>
      </c>
      <c r="D411" s="31">
        <v>87566.444543939535</v>
      </c>
    </row>
    <row r="412" spans="1:4" x14ac:dyDescent="0.3">
      <c r="A412" s="28">
        <v>43894</v>
      </c>
      <c r="B412" s="6">
        <v>5</v>
      </c>
      <c r="C412" s="6" t="s">
        <v>43</v>
      </c>
      <c r="D412" s="31">
        <v>93603.585203161885</v>
      </c>
    </row>
    <row r="413" spans="1:4" x14ac:dyDescent="0.3">
      <c r="A413" s="28">
        <v>43895</v>
      </c>
      <c r="B413" s="6">
        <v>5</v>
      </c>
      <c r="C413" s="6" t="s">
        <v>43</v>
      </c>
      <c r="D413" s="31">
        <v>90551.534962874357</v>
      </c>
    </row>
    <row r="414" spans="1:4" x14ac:dyDescent="0.3">
      <c r="A414" s="28">
        <v>43896</v>
      </c>
      <c r="B414" s="6">
        <v>5</v>
      </c>
      <c r="C414" s="6" t="s">
        <v>43</v>
      </c>
      <c r="D414" s="31">
        <v>96291.63596587519</v>
      </c>
    </row>
    <row r="415" spans="1:4" x14ac:dyDescent="0.3">
      <c r="A415" s="28">
        <v>43899</v>
      </c>
      <c r="B415" s="6">
        <v>5</v>
      </c>
      <c r="C415" s="6" t="s">
        <v>43</v>
      </c>
      <c r="D415" s="31">
        <v>91845.105328873615</v>
      </c>
    </row>
    <row r="416" spans="1:4" x14ac:dyDescent="0.3">
      <c r="A416" s="28">
        <v>43900</v>
      </c>
      <c r="B416" s="6">
        <v>5</v>
      </c>
      <c r="C416" s="6" t="s">
        <v>43</v>
      </c>
      <c r="D416" s="31">
        <v>87926.296667742427</v>
      </c>
    </row>
    <row r="417" spans="1:4" x14ac:dyDescent="0.3">
      <c r="A417" s="28">
        <v>43901</v>
      </c>
      <c r="B417" s="6">
        <v>5</v>
      </c>
      <c r="C417" s="6" t="s">
        <v>43</v>
      </c>
      <c r="D417" s="31">
        <v>91103.676531762176</v>
      </c>
    </row>
    <row r="418" spans="1:4" x14ac:dyDescent="0.3">
      <c r="A418" s="28">
        <v>43902</v>
      </c>
      <c r="B418" s="6">
        <v>5</v>
      </c>
      <c r="C418" s="6" t="s">
        <v>43</v>
      </c>
      <c r="D418" s="31">
        <v>91595.700635212386</v>
      </c>
    </row>
    <row r="419" spans="1:4" x14ac:dyDescent="0.3">
      <c r="A419" s="28">
        <v>43903</v>
      </c>
      <c r="B419" s="6">
        <v>5</v>
      </c>
      <c r="C419" s="6" t="s">
        <v>43</v>
      </c>
      <c r="D419" s="31">
        <v>96431.290751281675</v>
      </c>
    </row>
    <row r="420" spans="1:4" x14ac:dyDescent="0.3">
      <c r="A420" s="28">
        <v>43906</v>
      </c>
      <c r="B420" s="6">
        <v>5</v>
      </c>
      <c r="C420" s="6" t="s">
        <v>43</v>
      </c>
      <c r="D420" s="31">
        <v>101538.74923667859</v>
      </c>
    </row>
    <row r="421" spans="1:4" x14ac:dyDescent="0.3">
      <c r="A421" s="28">
        <v>43907</v>
      </c>
      <c r="B421" s="6">
        <v>5</v>
      </c>
      <c r="C421" s="6" t="s">
        <v>43</v>
      </c>
      <c r="D421" s="31">
        <v>87360.588380135072</v>
      </c>
    </row>
    <row r="422" spans="1:4" x14ac:dyDescent="0.3">
      <c r="A422" s="28">
        <v>43908</v>
      </c>
      <c r="B422" s="6">
        <v>5</v>
      </c>
      <c r="C422" s="6" t="s">
        <v>43</v>
      </c>
      <c r="D422" s="31">
        <v>99723.177118592575</v>
      </c>
    </row>
    <row r="423" spans="1:4" x14ac:dyDescent="0.3">
      <c r="A423" s="28">
        <v>43909</v>
      </c>
      <c r="B423" s="6">
        <v>5</v>
      </c>
      <c r="C423" s="6" t="s">
        <v>43</v>
      </c>
      <c r="D423" s="31">
        <v>94875.197054900622</v>
      </c>
    </row>
    <row r="424" spans="1:4" x14ac:dyDescent="0.3">
      <c r="A424" s="28">
        <v>43910</v>
      </c>
      <c r="B424" s="6">
        <v>5</v>
      </c>
      <c r="C424" s="6" t="s">
        <v>43</v>
      </c>
      <c r="D424" s="31">
        <v>100190.55152626662</v>
      </c>
    </row>
    <row r="425" spans="1:4" x14ac:dyDescent="0.3">
      <c r="A425" s="28">
        <v>43913</v>
      </c>
      <c r="B425" s="6">
        <v>5</v>
      </c>
      <c r="C425" s="6" t="s">
        <v>43</v>
      </c>
      <c r="D425" s="31">
        <v>99861.663455957751</v>
      </c>
    </row>
    <row r="426" spans="1:4" x14ac:dyDescent="0.3">
      <c r="A426" s="28">
        <v>43914</v>
      </c>
      <c r="B426" s="6">
        <v>5</v>
      </c>
      <c r="C426" s="6" t="s">
        <v>43</v>
      </c>
      <c r="D426" s="31">
        <v>90472.158680457287</v>
      </c>
    </row>
    <row r="427" spans="1:4" x14ac:dyDescent="0.3">
      <c r="A427" s="28">
        <v>43915</v>
      </c>
      <c r="B427" s="6">
        <v>5</v>
      </c>
      <c r="C427" s="6" t="s">
        <v>43</v>
      </c>
      <c r="D427" s="31">
        <v>101451.59252447524</v>
      </c>
    </row>
    <row r="428" spans="1:4" x14ac:dyDescent="0.3">
      <c r="A428" s="28">
        <v>43916</v>
      </c>
      <c r="B428" s="6">
        <v>5</v>
      </c>
      <c r="C428" s="6" t="s">
        <v>43</v>
      </c>
      <c r="D428" s="31">
        <v>91784.828105950495</v>
      </c>
    </row>
    <row r="429" spans="1:4" x14ac:dyDescent="0.3">
      <c r="A429" s="28">
        <v>43917</v>
      </c>
      <c r="B429" s="6">
        <v>5</v>
      </c>
      <c r="C429" s="6" t="s">
        <v>43</v>
      </c>
      <c r="D429" s="31">
        <v>96210.454017451571</v>
      </c>
    </row>
    <row r="430" spans="1:4" x14ac:dyDescent="0.3">
      <c r="A430" s="28">
        <v>43920</v>
      </c>
      <c r="B430" s="6">
        <v>5</v>
      </c>
      <c r="C430" s="6" t="s">
        <v>43</v>
      </c>
      <c r="D430" s="31">
        <v>91493.500328437469</v>
      </c>
    </row>
    <row r="431" spans="1:4" x14ac:dyDescent="0.3">
      <c r="A431" s="28">
        <v>43921</v>
      </c>
      <c r="B431" s="6">
        <v>5</v>
      </c>
      <c r="C431" s="6" t="s">
        <v>43</v>
      </c>
      <c r="D431" s="31">
        <v>93318.998426568593</v>
      </c>
    </row>
    <row r="432" spans="1:4" x14ac:dyDescent="0.3">
      <c r="A432" s="28">
        <v>43922</v>
      </c>
      <c r="B432" s="6">
        <v>5</v>
      </c>
      <c r="C432" s="6" t="s">
        <v>43</v>
      </c>
      <c r="D432" s="31">
        <v>103121.10653520891</v>
      </c>
    </row>
    <row r="433" spans="1:4" x14ac:dyDescent="0.3">
      <c r="A433" s="28">
        <v>43923</v>
      </c>
      <c r="B433" s="6">
        <v>5</v>
      </c>
      <c r="C433" s="6" t="s">
        <v>43</v>
      </c>
      <c r="D433" s="31">
        <v>95620.253863694496</v>
      </c>
    </row>
    <row r="434" spans="1:4" x14ac:dyDescent="0.3">
      <c r="A434" s="28">
        <v>43924</v>
      </c>
      <c r="B434" s="6">
        <v>5</v>
      </c>
      <c r="C434" s="6" t="s">
        <v>43</v>
      </c>
      <c r="D434" s="31">
        <v>93640.716883406538</v>
      </c>
    </row>
    <row r="435" spans="1:4" x14ac:dyDescent="0.3">
      <c r="A435" s="28">
        <v>43927</v>
      </c>
      <c r="B435" s="6">
        <v>5</v>
      </c>
      <c r="C435" s="6" t="s">
        <v>43</v>
      </c>
      <c r="D435" s="31">
        <v>92727.541771582881</v>
      </c>
    </row>
    <row r="436" spans="1:4" x14ac:dyDescent="0.3">
      <c r="A436" s="28">
        <v>43928</v>
      </c>
      <c r="B436" s="6">
        <v>5</v>
      </c>
      <c r="C436" s="6" t="s">
        <v>43</v>
      </c>
      <c r="D436" s="31">
        <v>100383.49014717957</v>
      </c>
    </row>
    <row r="437" spans="1:4" x14ac:dyDescent="0.3">
      <c r="A437" s="28">
        <v>43929</v>
      </c>
      <c r="B437" s="6">
        <v>5</v>
      </c>
      <c r="C437" s="6" t="s">
        <v>43</v>
      </c>
      <c r="D437" s="31">
        <v>92799.974282027542</v>
      </c>
    </row>
    <row r="438" spans="1:4" x14ac:dyDescent="0.3">
      <c r="A438" s="28">
        <v>43930</v>
      </c>
      <c r="B438" s="6">
        <v>5</v>
      </c>
      <c r="C438" s="6" t="s">
        <v>43</v>
      </c>
      <c r="D438" s="31">
        <v>99153.487051297634</v>
      </c>
    </row>
    <row r="439" spans="1:4" x14ac:dyDescent="0.3">
      <c r="A439" s="28">
        <v>43934</v>
      </c>
      <c r="B439" s="6">
        <v>5</v>
      </c>
      <c r="C439" s="6" t="s">
        <v>43</v>
      </c>
      <c r="D439" s="31">
        <v>89216.351697848426</v>
      </c>
    </row>
    <row r="440" spans="1:4" x14ac:dyDescent="0.3">
      <c r="A440" s="28">
        <v>43935</v>
      </c>
      <c r="B440" s="6">
        <v>5</v>
      </c>
      <c r="C440" s="6" t="s">
        <v>43</v>
      </c>
      <c r="D440" s="31">
        <v>95601.918023157821</v>
      </c>
    </row>
    <row r="441" spans="1:4" x14ac:dyDescent="0.3">
      <c r="A441" s="28">
        <v>43936</v>
      </c>
      <c r="B441" s="6">
        <v>5</v>
      </c>
      <c r="C441" s="6" t="s">
        <v>43</v>
      </c>
      <c r="D441" s="31">
        <v>90789.193390187007</v>
      </c>
    </row>
    <row r="442" spans="1:4" x14ac:dyDescent="0.3">
      <c r="A442" s="28">
        <v>43937</v>
      </c>
      <c r="B442" s="6">
        <v>5</v>
      </c>
      <c r="C442" s="6" t="s">
        <v>43</v>
      </c>
      <c r="D442" s="31">
        <v>94988.742719851783</v>
      </c>
    </row>
    <row r="443" spans="1:4" x14ac:dyDescent="0.3">
      <c r="A443" s="28">
        <v>43938</v>
      </c>
      <c r="B443" s="6">
        <v>5</v>
      </c>
      <c r="C443" s="6" t="s">
        <v>43</v>
      </c>
      <c r="D443" s="31">
        <v>97569.989340132306</v>
      </c>
    </row>
    <row r="444" spans="1:4" x14ac:dyDescent="0.3">
      <c r="A444" s="28">
        <v>43941</v>
      </c>
      <c r="B444" s="6">
        <v>5</v>
      </c>
      <c r="C444" s="6" t="s">
        <v>43</v>
      </c>
      <c r="D444" s="31">
        <v>98713.890540102089</v>
      </c>
    </row>
    <row r="445" spans="1:4" x14ac:dyDescent="0.3">
      <c r="A445" s="28">
        <v>43942</v>
      </c>
      <c r="B445" s="6">
        <v>5</v>
      </c>
      <c r="C445" s="6" t="s">
        <v>43</v>
      </c>
      <c r="D445" s="31">
        <v>102418.5732062395</v>
      </c>
    </row>
    <row r="446" spans="1:4" x14ac:dyDescent="0.3">
      <c r="A446" s="28">
        <v>43943</v>
      </c>
      <c r="B446" s="6">
        <v>5</v>
      </c>
      <c r="C446" s="6" t="s">
        <v>43</v>
      </c>
      <c r="D446" s="31">
        <v>94715.605423648696</v>
      </c>
    </row>
    <row r="447" spans="1:4" x14ac:dyDescent="0.3">
      <c r="A447" s="28">
        <v>43944</v>
      </c>
      <c r="B447" s="6">
        <v>5</v>
      </c>
      <c r="C447" s="6" t="s">
        <v>43</v>
      </c>
      <c r="D447" s="31">
        <v>95127.741332248552</v>
      </c>
    </row>
    <row r="448" spans="1:4" x14ac:dyDescent="0.3">
      <c r="A448" s="28">
        <v>43945</v>
      </c>
      <c r="B448" s="6">
        <v>5</v>
      </c>
      <c r="C448" s="6" t="s">
        <v>43</v>
      </c>
      <c r="D448" s="31">
        <v>96501.301301107844</v>
      </c>
    </row>
    <row r="449" spans="1:4" x14ac:dyDescent="0.3">
      <c r="A449" s="28">
        <v>43948</v>
      </c>
      <c r="B449" s="6">
        <v>5</v>
      </c>
      <c r="C449" s="6" t="s">
        <v>43</v>
      </c>
      <c r="D449" s="31">
        <v>95652.598022655162</v>
      </c>
    </row>
    <row r="450" spans="1:4" x14ac:dyDescent="0.3">
      <c r="A450" s="28">
        <v>43949</v>
      </c>
      <c r="B450" s="6">
        <v>5</v>
      </c>
      <c r="C450" s="6" t="s">
        <v>43</v>
      </c>
      <c r="D450" s="31">
        <v>94624.203982160034</v>
      </c>
    </row>
    <row r="451" spans="1:4" x14ac:dyDescent="0.3">
      <c r="A451" s="28">
        <v>43950</v>
      </c>
      <c r="B451" s="6">
        <v>5</v>
      </c>
      <c r="C451" s="6" t="s">
        <v>43</v>
      </c>
      <c r="D451" s="31">
        <v>96452.519850739554</v>
      </c>
    </row>
    <row r="452" spans="1:4" x14ac:dyDescent="0.3">
      <c r="A452" s="28">
        <v>43951</v>
      </c>
      <c r="B452" s="6">
        <v>5</v>
      </c>
      <c r="C452" s="6" t="s">
        <v>43</v>
      </c>
      <c r="D452" s="31">
        <v>93719.717334523782</v>
      </c>
    </row>
    <row r="453" spans="1:4" x14ac:dyDescent="0.3">
      <c r="A453" s="28">
        <v>43952</v>
      </c>
      <c r="B453" s="6">
        <v>5</v>
      </c>
      <c r="C453" s="6" t="s">
        <v>43</v>
      </c>
      <c r="D453" s="31">
        <v>103269.52591589517</v>
      </c>
    </row>
    <row r="454" spans="1:4" x14ac:dyDescent="0.3">
      <c r="A454" s="28">
        <v>43955</v>
      </c>
      <c r="B454" s="6">
        <v>5</v>
      </c>
      <c r="C454" s="6" t="s">
        <v>43</v>
      </c>
      <c r="D454" s="31">
        <v>93188.558032380999</v>
      </c>
    </row>
    <row r="455" spans="1:4" x14ac:dyDescent="0.3">
      <c r="A455" s="28">
        <v>43956</v>
      </c>
      <c r="B455" s="6">
        <v>5</v>
      </c>
      <c r="C455" s="6" t="s">
        <v>43</v>
      </c>
      <c r="D455" s="31">
        <v>93708.192732595155</v>
      </c>
    </row>
    <row r="456" spans="1:4" x14ac:dyDescent="0.3">
      <c r="A456" s="28">
        <v>43957</v>
      </c>
      <c r="B456" s="6">
        <v>5</v>
      </c>
      <c r="C456" s="6" t="s">
        <v>43</v>
      </c>
      <c r="D456" s="31">
        <v>98364.38088820719</v>
      </c>
    </row>
    <row r="457" spans="1:4" x14ac:dyDescent="0.3">
      <c r="A457" s="28">
        <v>43958</v>
      </c>
      <c r="B457" s="6">
        <v>5</v>
      </c>
      <c r="C457" s="6" t="s">
        <v>43</v>
      </c>
      <c r="D457" s="31">
        <v>103926.26412400037</v>
      </c>
    </row>
    <row r="458" spans="1:4" x14ac:dyDescent="0.3">
      <c r="A458" s="28">
        <v>43959</v>
      </c>
      <c r="B458" s="6">
        <v>5</v>
      </c>
      <c r="C458" s="6" t="s">
        <v>43</v>
      </c>
      <c r="D458" s="31">
        <v>101530.23943263342</v>
      </c>
    </row>
    <row r="459" spans="1:4" x14ac:dyDescent="0.3">
      <c r="A459" s="28">
        <v>43962</v>
      </c>
      <c r="B459" s="6">
        <v>5</v>
      </c>
      <c r="C459" s="6" t="s">
        <v>43</v>
      </c>
      <c r="D459" s="31">
        <v>95008.373697544012</v>
      </c>
    </row>
    <row r="460" spans="1:4" x14ac:dyDescent="0.3">
      <c r="A460" s="28">
        <v>43963</v>
      </c>
      <c r="B460" s="6">
        <v>5</v>
      </c>
      <c r="C460" s="6" t="s">
        <v>43</v>
      </c>
      <c r="D460" s="31">
        <v>93656.634046669453</v>
      </c>
    </row>
    <row r="461" spans="1:4" x14ac:dyDescent="0.3">
      <c r="A461" s="28">
        <v>43964</v>
      </c>
      <c r="B461" s="6">
        <v>5</v>
      </c>
      <c r="C461" s="6" t="s">
        <v>43</v>
      </c>
      <c r="D461" s="31">
        <v>104275.67795963523</v>
      </c>
    </row>
    <row r="462" spans="1:4" x14ac:dyDescent="0.3">
      <c r="A462" s="28">
        <v>43965</v>
      </c>
      <c r="B462" s="6">
        <v>5</v>
      </c>
      <c r="C462" s="6" t="s">
        <v>43</v>
      </c>
      <c r="D462" s="31">
        <v>105429.25652554043</v>
      </c>
    </row>
    <row r="463" spans="1:4" x14ac:dyDescent="0.3">
      <c r="A463" s="28">
        <v>43966</v>
      </c>
      <c r="B463" s="6">
        <v>5</v>
      </c>
      <c r="C463" s="6" t="s">
        <v>43</v>
      </c>
      <c r="D463" s="31">
        <v>102154.89048058409</v>
      </c>
    </row>
    <row r="464" spans="1:4" x14ac:dyDescent="0.3">
      <c r="A464" s="28">
        <v>43969</v>
      </c>
      <c r="B464" s="6">
        <v>5</v>
      </c>
      <c r="C464" s="6" t="s">
        <v>43</v>
      </c>
      <c r="D464" s="31">
        <v>103665.48536716135</v>
      </c>
    </row>
    <row r="465" spans="1:4" x14ac:dyDescent="0.3">
      <c r="A465" s="28">
        <v>43970</v>
      </c>
      <c r="B465" s="6">
        <v>5</v>
      </c>
      <c r="C465" s="6" t="s">
        <v>43</v>
      </c>
      <c r="D465" s="31">
        <v>104971.61433368933</v>
      </c>
    </row>
    <row r="466" spans="1:4" x14ac:dyDescent="0.3">
      <c r="A466" s="28">
        <v>43971</v>
      </c>
      <c r="B466" s="6">
        <v>5</v>
      </c>
      <c r="C466" s="6" t="s">
        <v>43</v>
      </c>
      <c r="D466" s="31">
        <v>97540.355843066442</v>
      </c>
    </row>
    <row r="467" spans="1:4" x14ac:dyDescent="0.3">
      <c r="A467" s="28">
        <v>43972</v>
      </c>
      <c r="B467" s="6">
        <v>5</v>
      </c>
      <c r="C467" s="6" t="s">
        <v>43</v>
      </c>
      <c r="D467" s="31">
        <v>97911.131036499602</v>
      </c>
    </row>
    <row r="468" spans="1:4" x14ac:dyDescent="0.3">
      <c r="A468" s="28">
        <v>43973</v>
      </c>
      <c r="B468" s="6">
        <v>5</v>
      </c>
      <c r="C468" s="6" t="s">
        <v>43</v>
      </c>
      <c r="D468" s="31">
        <v>94450.983062217085</v>
      </c>
    </row>
    <row r="469" spans="1:4" x14ac:dyDescent="0.3">
      <c r="A469" s="28">
        <v>43977</v>
      </c>
      <c r="B469" s="6">
        <v>5</v>
      </c>
      <c r="C469" s="6" t="s">
        <v>43</v>
      </c>
      <c r="D469" s="31">
        <v>100555.13777262063</v>
      </c>
    </row>
    <row r="470" spans="1:4" x14ac:dyDescent="0.3">
      <c r="A470" s="28">
        <v>43978</v>
      </c>
      <c r="B470" s="6">
        <v>5</v>
      </c>
      <c r="C470" s="6" t="s">
        <v>43</v>
      </c>
      <c r="D470" s="31">
        <v>100006.42011416014</v>
      </c>
    </row>
    <row r="471" spans="1:4" x14ac:dyDescent="0.3">
      <c r="A471" s="28">
        <v>43979</v>
      </c>
      <c r="B471" s="6">
        <v>5</v>
      </c>
      <c r="C471" s="6" t="s">
        <v>43</v>
      </c>
      <c r="D471" s="31">
        <v>99917.765487767567</v>
      </c>
    </row>
    <row r="472" spans="1:4" x14ac:dyDescent="0.3">
      <c r="A472" s="28">
        <v>43980</v>
      </c>
      <c r="B472" s="6">
        <v>5</v>
      </c>
      <c r="C472" s="6" t="s">
        <v>43</v>
      </c>
      <c r="D472" s="31">
        <v>98886.98826747245</v>
      </c>
    </row>
    <row r="473" spans="1:4" x14ac:dyDescent="0.3">
      <c r="A473" s="28">
        <v>43983</v>
      </c>
      <c r="B473" s="6">
        <v>5</v>
      </c>
      <c r="C473" s="6" t="s">
        <v>43</v>
      </c>
      <c r="D473" s="31">
        <v>100341.77740569816</v>
      </c>
    </row>
    <row r="474" spans="1:4" x14ac:dyDescent="0.3">
      <c r="A474" s="28">
        <v>43984</v>
      </c>
      <c r="B474" s="6">
        <v>5</v>
      </c>
      <c r="C474" s="6" t="s">
        <v>43</v>
      </c>
      <c r="D474" s="31">
        <v>104811.58071897874</v>
      </c>
    </row>
    <row r="475" spans="1:4" x14ac:dyDescent="0.3">
      <c r="A475" s="28">
        <v>43985</v>
      </c>
      <c r="B475" s="6">
        <v>5</v>
      </c>
      <c r="C475" s="6" t="s">
        <v>43</v>
      </c>
      <c r="D475" s="31">
        <v>101608.16474531213</v>
      </c>
    </row>
    <row r="476" spans="1:4" x14ac:dyDescent="0.3">
      <c r="A476" s="28">
        <v>43986</v>
      </c>
      <c r="B476" s="6">
        <v>5</v>
      </c>
      <c r="C476" s="6" t="s">
        <v>43</v>
      </c>
      <c r="D476" s="31">
        <v>99225.964690596753</v>
      </c>
    </row>
    <row r="477" spans="1:4" x14ac:dyDescent="0.3">
      <c r="A477" s="28">
        <v>43987</v>
      </c>
      <c r="B477" s="6">
        <v>5</v>
      </c>
      <c r="C477" s="6" t="s">
        <v>43</v>
      </c>
      <c r="D477" s="31">
        <v>100148.71578065943</v>
      </c>
    </row>
    <row r="478" spans="1:4" x14ac:dyDescent="0.3">
      <c r="A478" s="28">
        <v>43990</v>
      </c>
      <c r="B478" s="6">
        <v>5</v>
      </c>
      <c r="C478" s="6" t="s">
        <v>43</v>
      </c>
      <c r="D478" s="31">
        <v>97029.157219505229</v>
      </c>
    </row>
    <row r="479" spans="1:4" x14ac:dyDescent="0.3">
      <c r="A479" s="28">
        <v>43991</v>
      </c>
      <c r="B479" s="6">
        <v>5</v>
      </c>
      <c r="C479" s="6" t="s">
        <v>43</v>
      </c>
      <c r="D479" s="31">
        <v>104203.6360862664</v>
      </c>
    </row>
    <row r="480" spans="1:4" x14ac:dyDescent="0.3">
      <c r="A480" s="28">
        <v>43992</v>
      </c>
      <c r="B480" s="6">
        <v>5</v>
      </c>
      <c r="C480" s="6" t="s">
        <v>43</v>
      </c>
      <c r="D480" s="31">
        <v>103119.66528312549</v>
      </c>
    </row>
    <row r="481" spans="1:4" x14ac:dyDescent="0.3">
      <c r="A481" s="28">
        <v>43993</v>
      </c>
      <c r="B481" s="6">
        <v>5</v>
      </c>
      <c r="C481" s="6" t="s">
        <v>43</v>
      </c>
      <c r="D481" s="31">
        <v>95632.568107724917</v>
      </c>
    </row>
    <row r="482" spans="1:4" x14ac:dyDescent="0.3">
      <c r="A482" s="28">
        <v>43994</v>
      </c>
      <c r="B482" s="6">
        <v>5</v>
      </c>
      <c r="C482" s="6" t="s">
        <v>43</v>
      </c>
      <c r="D482" s="31">
        <v>101993.84554504055</v>
      </c>
    </row>
    <row r="483" spans="1:4" x14ac:dyDescent="0.3">
      <c r="A483" s="28">
        <v>43997</v>
      </c>
      <c r="B483" s="6">
        <v>5</v>
      </c>
      <c r="C483" s="6" t="s">
        <v>43</v>
      </c>
      <c r="D483" s="31">
        <v>102262.24071221413</v>
      </c>
    </row>
    <row r="484" spans="1:4" x14ac:dyDescent="0.3">
      <c r="A484" s="28">
        <v>43998</v>
      </c>
      <c r="B484" s="6">
        <v>5</v>
      </c>
      <c r="C484" s="6" t="s">
        <v>43</v>
      </c>
      <c r="D484" s="31">
        <v>102209.43547453225</v>
      </c>
    </row>
    <row r="485" spans="1:4" x14ac:dyDescent="0.3">
      <c r="A485" s="28">
        <v>43999</v>
      </c>
      <c r="B485" s="6">
        <v>5</v>
      </c>
      <c r="C485" s="6" t="s">
        <v>43</v>
      </c>
      <c r="D485" s="31">
        <v>98840.817529320862</v>
      </c>
    </row>
    <row r="486" spans="1:4" x14ac:dyDescent="0.3">
      <c r="A486" s="28">
        <v>44000</v>
      </c>
      <c r="B486" s="6">
        <v>5</v>
      </c>
      <c r="C486" s="6" t="s">
        <v>43</v>
      </c>
      <c r="D486" s="31">
        <v>103721.60166071232</v>
      </c>
    </row>
    <row r="487" spans="1:4" x14ac:dyDescent="0.3">
      <c r="A487" s="28">
        <v>44001</v>
      </c>
      <c r="B487" s="6">
        <v>5</v>
      </c>
      <c r="C487" s="6" t="s">
        <v>43</v>
      </c>
      <c r="D487" s="31">
        <v>104980.01433920406</v>
      </c>
    </row>
    <row r="488" spans="1:4" x14ac:dyDescent="0.3">
      <c r="A488" s="28">
        <v>44004</v>
      </c>
      <c r="B488" s="6">
        <v>5</v>
      </c>
      <c r="C488" s="6" t="s">
        <v>43</v>
      </c>
      <c r="D488" s="31">
        <v>103632.7796937129</v>
      </c>
    </row>
    <row r="489" spans="1:4" x14ac:dyDescent="0.3">
      <c r="A489" s="28">
        <v>44005</v>
      </c>
      <c r="B489" s="6">
        <v>5</v>
      </c>
      <c r="C489" s="6" t="s">
        <v>43</v>
      </c>
      <c r="D489" s="31">
        <v>98329.867180487432</v>
      </c>
    </row>
    <row r="490" spans="1:4" x14ac:dyDescent="0.3">
      <c r="A490" s="28">
        <v>44006</v>
      </c>
      <c r="B490" s="6">
        <v>5</v>
      </c>
      <c r="C490" s="6" t="s">
        <v>43</v>
      </c>
      <c r="D490" s="31">
        <v>102623.51875752892</v>
      </c>
    </row>
    <row r="491" spans="1:4" x14ac:dyDescent="0.3">
      <c r="A491" s="28">
        <v>44007</v>
      </c>
      <c r="B491" s="6">
        <v>5</v>
      </c>
      <c r="C491" s="6" t="s">
        <v>43</v>
      </c>
      <c r="D491" s="31">
        <v>104515.4438140909</v>
      </c>
    </row>
    <row r="492" spans="1:4" x14ac:dyDescent="0.3">
      <c r="A492" s="28">
        <v>44008</v>
      </c>
      <c r="B492" s="6">
        <v>5</v>
      </c>
      <c r="C492" s="6" t="s">
        <v>43</v>
      </c>
      <c r="D492" s="31">
        <v>105853.88912924756</v>
      </c>
    </row>
    <row r="493" spans="1:4" x14ac:dyDescent="0.3">
      <c r="A493" s="28">
        <v>44011</v>
      </c>
      <c r="B493" s="6">
        <v>5</v>
      </c>
      <c r="C493" s="6" t="s">
        <v>43</v>
      </c>
      <c r="D493" s="31">
        <v>106216.0655927958</v>
      </c>
    </row>
    <row r="494" spans="1:4" x14ac:dyDescent="0.3">
      <c r="A494" s="28">
        <v>44012</v>
      </c>
      <c r="B494" s="6">
        <v>5</v>
      </c>
      <c r="C494" s="6" t="s">
        <v>43</v>
      </c>
      <c r="D494" s="31">
        <v>103403.34015635937</v>
      </c>
    </row>
    <row r="495" spans="1:4" x14ac:dyDescent="0.3">
      <c r="A495" s="28">
        <v>44013</v>
      </c>
      <c r="B495" s="6">
        <v>5</v>
      </c>
      <c r="C495" s="6" t="s">
        <v>43</v>
      </c>
      <c r="D495" s="31">
        <v>102278.42555921993</v>
      </c>
    </row>
    <row r="496" spans="1:4" x14ac:dyDescent="0.3">
      <c r="A496" s="28">
        <v>44014</v>
      </c>
      <c r="B496" s="6">
        <v>5</v>
      </c>
      <c r="C496" s="6" t="s">
        <v>43</v>
      </c>
      <c r="D496" s="31">
        <v>106321.89366017505</v>
      </c>
    </row>
    <row r="497" spans="1:4" x14ac:dyDescent="0.3">
      <c r="A497" s="28">
        <v>44018</v>
      </c>
      <c r="B497" s="6">
        <v>5</v>
      </c>
      <c r="C497" s="6" t="s">
        <v>43</v>
      </c>
      <c r="D497" s="31">
        <v>105059.25992673842</v>
      </c>
    </row>
    <row r="498" spans="1:4" x14ac:dyDescent="0.3">
      <c r="A498" s="28">
        <v>44019</v>
      </c>
      <c r="B498" s="6">
        <v>5</v>
      </c>
      <c r="C498" s="6" t="s">
        <v>43</v>
      </c>
      <c r="D498" s="31">
        <v>102262.38495418557</v>
      </c>
    </row>
    <row r="499" spans="1:4" x14ac:dyDescent="0.3">
      <c r="A499" s="28">
        <v>44020</v>
      </c>
      <c r="B499" s="6">
        <v>5</v>
      </c>
      <c r="C499" s="6" t="s">
        <v>43</v>
      </c>
      <c r="D499" s="31">
        <v>105573.92166296052</v>
      </c>
    </row>
    <row r="500" spans="1:4" x14ac:dyDescent="0.3">
      <c r="A500" s="28">
        <v>44021</v>
      </c>
      <c r="B500" s="6">
        <v>5</v>
      </c>
      <c r="C500" s="6" t="s">
        <v>43</v>
      </c>
      <c r="D500" s="31">
        <v>103335.78199118284</v>
      </c>
    </row>
    <row r="501" spans="1:4" x14ac:dyDescent="0.3">
      <c r="A501" s="28">
        <v>44022</v>
      </c>
      <c r="B501" s="6">
        <v>5</v>
      </c>
      <c r="C501" s="6" t="s">
        <v>43</v>
      </c>
      <c r="D501" s="31">
        <v>105503.45643679636</v>
      </c>
    </row>
    <row r="502" spans="1:4" x14ac:dyDescent="0.3">
      <c r="A502" s="18"/>
      <c r="B502" s="19"/>
      <c r="C502" s="19"/>
      <c r="D502" s="22"/>
    </row>
    <row r="503" spans="1:4" x14ac:dyDescent="0.3">
      <c r="A503" s="18"/>
      <c r="B503" s="19"/>
      <c r="C503" s="19"/>
      <c r="D503" s="22"/>
    </row>
    <row r="504" spans="1:4" x14ac:dyDescent="0.3">
      <c r="A504" s="18"/>
      <c r="B504" s="19"/>
      <c r="C504" s="19"/>
      <c r="D504" s="22"/>
    </row>
    <row r="505" spans="1:4" x14ac:dyDescent="0.3">
      <c r="A505" s="18"/>
      <c r="B505" s="19"/>
      <c r="C505" s="19"/>
      <c r="D505" s="22"/>
    </row>
    <row r="506" spans="1:4" x14ac:dyDescent="0.3">
      <c r="A506" s="18"/>
      <c r="B506" s="19"/>
      <c r="C506" s="19"/>
      <c r="D506" s="22"/>
    </row>
    <row r="507" spans="1:4" x14ac:dyDescent="0.3">
      <c r="A507" s="18"/>
      <c r="B507" s="19"/>
      <c r="C507" s="19"/>
      <c r="D507" s="22"/>
    </row>
    <row r="508" spans="1:4" x14ac:dyDescent="0.3">
      <c r="A508" s="18"/>
      <c r="B508" s="19"/>
      <c r="C508" s="19"/>
      <c r="D508" s="22"/>
    </row>
    <row r="509" spans="1:4" x14ac:dyDescent="0.3">
      <c r="A509" s="18"/>
      <c r="B509" s="19"/>
      <c r="C509" s="19"/>
      <c r="D509" s="22"/>
    </row>
    <row r="510" spans="1:4" x14ac:dyDescent="0.3">
      <c r="A510" s="18"/>
      <c r="B510" s="19"/>
      <c r="C510" s="19"/>
      <c r="D510" s="22"/>
    </row>
    <row r="511" spans="1:4" x14ac:dyDescent="0.3">
      <c r="A511" s="18"/>
      <c r="B511" s="19"/>
      <c r="C511" s="19"/>
      <c r="D511" s="22"/>
    </row>
    <row r="512" spans="1:4" x14ac:dyDescent="0.3">
      <c r="A512" s="18"/>
      <c r="B512" s="19"/>
      <c r="C512" s="19"/>
      <c r="D512" s="22"/>
    </row>
    <row r="513" spans="1:4" x14ac:dyDescent="0.3">
      <c r="A513" s="18"/>
      <c r="B513" s="19"/>
      <c r="C513" s="19"/>
      <c r="D513" s="22"/>
    </row>
    <row r="514" spans="1:4" x14ac:dyDescent="0.3">
      <c r="A514" s="18"/>
      <c r="B514" s="19"/>
      <c r="C514" s="19"/>
      <c r="D514" s="22"/>
    </row>
    <row r="515" spans="1:4" x14ac:dyDescent="0.3">
      <c r="A515" s="18"/>
      <c r="B515" s="19"/>
      <c r="C515" s="19"/>
      <c r="D515" s="22"/>
    </row>
    <row r="516" spans="1:4" x14ac:dyDescent="0.3">
      <c r="A516" s="18"/>
      <c r="B516" s="19"/>
      <c r="C516" s="19"/>
      <c r="D516" s="22"/>
    </row>
    <row r="517" spans="1:4" x14ac:dyDescent="0.3">
      <c r="A517" s="18"/>
      <c r="B517" s="19"/>
      <c r="C517" s="19"/>
      <c r="D517" s="22"/>
    </row>
    <row r="518" spans="1:4" x14ac:dyDescent="0.3">
      <c r="A518" s="18"/>
      <c r="B518" s="19"/>
      <c r="C518" s="19"/>
      <c r="D518" s="22"/>
    </row>
    <row r="519" spans="1:4" x14ac:dyDescent="0.3">
      <c r="A519" s="18"/>
      <c r="B519" s="19"/>
      <c r="C519" s="19"/>
      <c r="D519" s="22"/>
    </row>
    <row r="520" spans="1:4" x14ac:dyDescent="0.3">
      <c r="A520" s="18"/>
      <c r="B520" s="19"/>
      <c r="C520" s="19"/>
      <c r="D520" s="22"/>
    </row>
    <row r="521" spans="1:4" x14ac:dyDescent="0.3">
      <c r="A521" s="18"/>
      <c r="B521" s="19"/>
      <c r="C521" s="19"/>
      <c r="D521" s="22"/>
    </row>
    <row r="522" spans="1:4" x14ac:dyDescent="0.3">
      <c r="A522" s="18"/>
      <c r="B522" s="19"/>
      <c r="C522" s="19"/>
      <c r="D522" s="22"/>
    </row>
    <row r="523" spans="1:4" x14ac:dyDescent="0.3">
      <c r="A523" s="18"/>
      <c r="B523" s="19"/>
      <c r="C523" s="19"/>
      <c r="D523" s="22"/>
    </row>
    <row r="524" spans="1:4" x14ac:dyDescent="0.3">
      <c r="A524" s="18"/>
      <c r="B524" s="19"/>
      <c r="C524" s="19"/>
      <c r="D524" s="22"/>
    </row>
    <row r="525" spans="1:4" x14ac:dyDescent="0.3">
      <c r="A525" s="18"/>
      <c r="B525" s="19"/>
      <c r="C525" s="19"/>
      <c r="D525" s="22"/>
    </row>
    <row r="526" spans="1:4" x14ac:dyDescent="0.3">
      <c r="A526" s="18"/>
      <c r="B526" s="19"/>
      <c r="C526" s="19"/>
      <c r="D526" s="22"/>
    </row>
    <row r="527" spans="1:4" x14ac:dyDescent="0.3">
      <c r="A527" s="18"/>
      <c r="B527" s="19"/>
      <c r="C527" s="19"/>
      <c r="D527" s="22"/>
    </row>
    <row r="528" spans="1:4" x14ac:dyDescent="0.3">
      <c r="A528" s="18"/>
      <c r="B528" s="19"/>
      <c r="C528" s="19"/>
      <c r="D528" s="22"/>
    </row>
    <row r="529" spans="1:4" x14ac:dyDescent="0.3">
      <c r="A529" s="18"/>
      <c r="B529" s="19"/>
      <c r="C529" s="19"/>
      <c r="D529" s="22"/>
    </row>
    <row r="530" spans="1:4" x14ac:dyDescent="0.3">
      <c r="A530" s="18"/>
      <c r="B530" s="19"/>
      <c r="C530" s="19"/>
      <c r="D530" s="22"/>
    </row>
    <row r="531" spans="1:4" x14ac:dyDescent="0.3">
      <c r="A531" s="18"/>
      <c r="B531" s="19"/>
      <c r="C531" s="19"/>
      <c r="D531" s="22"/>
    </row>
    <row r="532" spans="1:4" x14ac:dyDescent="0.3">
      <c r="A532" s="18"/>
      <c r="B532" s="19"/>
      <c r="C532" s="19"/>
      <c r="D532" s="22"/>
    </row>
    <row r="533" spans="1:4" x14ac:dyDescent="0.3">
      <c r="A533" s="18"/>
      <c r="B533" s="19"/>
      <c r="C533" s="19"/>
      <c r="D533" s="22"/>
    </row>
    <row r="534" spans="1:4" x14ac:dyDescent="0.3">
      <c r="A534" s="18"/>
      <c r="B534" s="19"/>
      <c r="C534" s="19"/>
      <c r="D534" s="22"/>
    </row>
    <row r="535" spans="1:4" x14ac:dyDescent="0.3">
      <c r="A535" s="18"/>
      <c r="B535" s="19"/>
      <c r="C535" s="19"/>
      <c r="D535" s="22"/>
    </row>
    <row r="536" spans="1:4" x14ac:dyDescent="0.3">
      <c r="A536" s="18"/>
      <c r="B536" s="19"/>
      <c r="C536" s="19"/>
      <c r="D536" s="22"/>
    </row>
    <row r="537" spans="1:4" x14ac:dyDescent="0.3">
      <c r="A537" s="18"/>
      <c r="B537" s="19"/>
      <c r="C537" s="19"/>
      <c r="D537" s="22"/>
    </row>
    <row r="538" spans="1:4" x14ac:dyDescent="0.3">
      <c r="A538" s="18"/>
      <c r="B538" s="19"/>
      <c r="C538" s="19"/>
      <c r="D538" s="22"/>
    </row>
    <row r="539" spans="1:4" x14ac:dyDescent="0.3">
      <c r="A539" s="18"/>
      <c r="B539" s="19"/>
      <c r="C539" s="19"/>
      <c r="D539" s="22"/>
    </row>
    <row r="540" spans="1:4" x14ac:dyDescent="0.3">
      <c r="A540" s="18"/>
      <c r="B540" s="19"/>
      <c r="C540" s="19"/>
      <c r="D540" s="22"/>
    </row>
    <row r="541" spans="1:4" x14ac:dyDescent="0.3">
      <c r="A541" s="18"/>
      <c r="B541" s="19"/>
      <c r="C541" s="19"/>
      <c r="D541" s="22"/>
    </row>
    <row r="542" spans="1:4" x14ac:dyDescent="0.3">
      <c r="A542" s="18"/>
      <c r="B542" s="19"/>
      <c r="C542" s="19"/>
      <c r="D542" s="22"/>
    </row>
    <row r="543" spans="1:4" x14ac:dyDescent="0.3">
      <c r="A543" s="18"/>
      <c r="B543" s="19"/>
      <c r="C543" s="19"/>
      <c r="D543" s="22"/>
    </row>
    <row r="544" spans="1:4" x14ac:dyDescent="0.3">
      <c r="A544" s="18"/>
      <c r="B544" s="19"/>
      <c r="C544" s="19"/>
      <c r="D544" s="22"/>
    </row>
    <row r="545" spans="1:4" x14ac:dyDescent="0.3">
      <c r="A545" s="18"/>
      <c r="B545" s="19"/>
      <c r="C545" s="19"/>
      <c r="D545" s="22"/>
    </row>
    <row r="546" spans="1:4" x14ac:dyDescent="0.3">
      <c r="A546" s="18"/>
      <c r="B546" s="19"/>
      <c r="C546" s="19"/>
      <c r="D546" s="22"/>
    </row>
    <row r="547" spans="1:4" x14ac:dyDescent="0.3">
      <c r="A547" s="18"/>
      <c r="B547" s="19"/>
      <c r="C547" s="19"/>
      <c r="D547" s="22"/>
    </row>
    <row r="548" spans="1:4" x14ac:dyDescent="0.3">
      <c r="A548" s="18"/>
      <c r="B548" s="19"/>
      <c r="C548" s="19"/>
      <c r="D548" s="22"/>
    </row>
    <row r="549" spans="1:4" x14ac:dyDescent="0.3">
      <c r="A549" s="18"/>
      <c r="B549" s="19"/>
      <c r="C549" s="19"/>
      <c r="D549" s="22"/>
    </row>
    <row r="550" spans="1:4" x14ac:dyDescent="0.3">
      <c r="A550" s="18"/>
      <c r="B550" s="19"/>
      <c r="C550" s="19"/>
      <c r="D550" s="22"/>
    </row>
    <row r="551" spans="1:4" x14ac:dyDescent="0.3">
      <c r="A551" s="18"/>
      <c r="B551" s="19"/>
      <c r="C551" s="19"/>
      <c r="D551" s="22"/>
    </row>
    <row r="552" spans="1:4" x14ac:dyDescent="0.3">
      <c r="A552" s="18"/>
      <c r="B552" s="19"/>
      <c r="C552" s="19"/>
      <c r="D552" s="22"/>
    </row>
    <row r="553" spans="1:4" x14ac:dyDescent="0.3">
      <c r="A553" s="18"/>
      <c r="B553" s="19"/>
      <c r="C553" s="19"/>
      <c r="D553" s="22"/>
    </row>
    <row r="554" spans="1:4" x14ac:dyDescent="0.3">
      <c r="A554" s="18"/>
      <c r="B554" s="19"/>
      <c r="C554" s="19"/>
      <c r="D554" s="22"/>
    </row>
    <row r="555" spans="1:4" x14ac:dyDescent="0.3">
      <c r="A555" s="18"/>
      <c r="B555" s="19"/>
      <c r="C555" s="19"/>
      <c r="D555" s="22"/>
    </row>
    <row r="556" spans="1:4" x14ac:dyDescent="0.3">
      <c r="A556" s="18"/>
      <c r="B556" s="19"/>
      <c r="C556" s="19"/>
      <c r="D556" s="22"/>
    </row>
    <row r="557" spans="1:4" x14ac:dyDescent="0.3">
      <c r="A557" s="18"/>
      <c r="B557" s="19"/>
      <c r="C557" s="19"/>
      <c r="D557" s="22"/>
    </row>
    <row r="558" spans="1:4" x14ac:dyDescent="0.3">
      <c r="A558" s="18"/>
      <c r="B558" s="19"/>
      <c r="C558" s="19"/>
      <c r="D558" s="22"/>
    </row>
    <row r="559" spans="1:4" x14ac:dyDescent="0.3">
      <c r="A559" s="18"/>
      <c r="B559" s="19"/>
      <c r="C559" s="19"/>
      <c r="D559" s="22"/>
    </row>
    <row r="560" spans="1:4" x14ac:dyDescent="0.3">
      <c r="A560" s="18"/>
      <c r="B560" s="19"/>
      <c r="C560" s="19"/>
      <c r="D560" s="22"/>
    </row>
    <row r="561" spans="1:4" x14ac:dyDescent="0.3">
      <c r="A561" s="18"/>
      <c r="B561" s="19"/>
      <c r="C561" s="19"/>
      <c r="D561" s="22"/>
    </row>
    <row r="562" spans="1:4" x14ac:dyDescent="0.3">
      <c r="A562" s="18"/>
      <c r="B562" s="19"/>
      <c r="C562" s="19"/>
      <c r="D562" s="22"/>
    </row>
    <row r="563" spans="1:4" x14ac:dyDescent="0.3">
      <c r="A563" s="18"/>
      <c r="B563" s="19"/>
      <c r="C563" s="19"/>
      <c r="D563" s="22"/>
    </row>
    <row r="564" spans="1:4" x14ac:dyDescent="0.3">
      <c r="A564" s="18"/>
      <c r="B564" s="19"/>
      <c r="C564" s="19"/>
      <c r="D564" s="22"/>
    </row>
    <row r="565" spans="1:4" x14ac:dyDescent="0.3">
      <c r="A565" s="18"/>
      <c r="B565" s="19"/>
      <c r="C565" s="19"/>
      <c r="D565" s="22"/>
    </row>
    <row r="566" spans="1:4" x14ac:dyDescent="0.3">
      <c r="A566" s="18"/>
      <c r="B566" s="19"/>
      <c r="C566" s="19"/>
      <c r="D566" s="22"/>
    </row>
    <row r="567" spans="1:4" x14ac:dyDescent="0.3">
      <c r="A567" s="18"/>
      <c r="B567" s="19"/>
      <c r="C567" s="19"/>
      <c r="D567" s="22"/>
    </row>
    <row r="568" spans="1:4" x14ac:dyDescent="0.3">
      <c r="A568" s="18"/>
      <c r="B568" s="19"/>
      <c r="C568" s="19"/>
      <c r="D568" s="22"/>
    </row>
    <row r="569" spans="1:4" x14ac:dyDescent="0.3">
      <c r="A569" s="18"/>
      <c r="B569" s="19"/>
      <c r="C569" s="19"/>
      <c r="D569" s="22"/>
    </row>
    <row r="570" spans="1:4" x14ac:dyDescent="0.3">
      <c r="A570" s="18"/>
      <c r="B570" s="19"/>
      <c r="C570" s="19"/>
      <c r="D570" s="22"/>
    </row>
    <row r="571" spans="1:4" x14ac:dyDescent="0.3">
      <c r="A571" s="18"/>
      <c r="B571" s="19"/>
      <c r="C571" s="19"/>
      <c r="D571" s="22"/>
    </row>
    <row r="572" spans="1:4" x14ac:dyDescent="0.3">
      <c r="A572" s="18"/>
      <c r="B572" s="19"/>
      <c r="C572" s="19"/>
      <c r="D572" s="22"/>
    </row>
    <row r="573" spans="1:4" x14ac:dyDescent="0.3">
      <c r="A573" s="18"/>
      <c r="B573" s="19"/>
      <c r="C573" s="19"/>
      <c r="D573" s="22"/>
    </row>
    <row r="574" spans="1:4" x14ac:dyDescent="0.3">
      <c r="A574" s="18"/>
      <c r="B574" s="19"/>
      <c r="C574" s="19"/>
      <c r="D574" s="22"/>
    </row>
    <row r="575" spans="1:4" x14ac:dyDescent="0.3">
      <c r="A575" s="18"/>
      <c r="B575" s="19"/>
      <c r="C575" s="19"/>
      <c r="D575" s="22"/>
    </row>
    <row r="576" spans="1:4" x14ac:dyDescent="0.3">
      <c r="A576" s="18"/>
      <c r="B576" s="19"/>
      <c r="C576" s="19"/>
      <c r="D576" s="22"/>
    </row>
    <row r="577" spans="1:4" x14ac:dyDescent="0.3">
      <c r="A577" s="18"/>
      <c r="B577" s="19"/>
      <c r="C577" s="19"/>
      <c r="D577" s="22"/>
    </row>
    <row r="578" spans="1:4" x14ac:dyDescent="0.3">
      <c r="A578" s="18"/>
      <c r="B578" s="19"/>
      <c r="C578" s="19"/>
      <c r="D578" s="22"/>
    </row>
    <row r="579" spans="1:4" x14ac:dyDescent="0.3">
      <c r="A579" s="18"/>
      <c r="B579" s="19"/>
      <c r="C579" s="19"/>
      <c r="D579" s="22"/>
    </row>
    <row r="580" spans="1:4" x14ac:dyDescent="0.3">
      <c r="A580" s="18"/>
      <c r="B580" s="19"/>
      <c r="C580" s="19"/>
      <c r="D580" s="22"/>
    </row>
    <row r="581" spans="1:4" x14ac:dyDescent="0.3">
      <c r="A581" s="18"/>
      <c r="B581" s="19"/>
      <c r="C581" s="19"/>
      <c r="D581" s="22"/>
    </row>
    <row r="582" spans="1:4" x14ac:dyDescent="0.3">
      <c r="A582" s="18"/>
      <c r="B582" s="19"/>
      <c r="C582" s="19"/>
      <c r="D582" s="22"/>
    </row>
    <row r="583" spans="1:4" x14ac:dyDescent="0.3">
      <c r="A583" s="18"/>
      <c r="B583" s="19"/>
      <c r="C583" s="19"/>
      <c r="D583" s="22"/>
    </row>
    <row r="584" spans="1:4" x14ac:dyDescent="0.3">
      <c r="A584" s="18"/>
      <c r="B584" s="19"/>
      <c r="C584" s="19"/>
      <c r="D584" s="22"/>
    </row>
    <row r="585" spans="1:4" x14ac:dyDescent="0.3">
      <c r="A585" s="18"/>
      <c r="B585" s="19"/>
      <c r="C585" s="19"/>
      <c r="D585" s="22"/>
    </row>
    <row r="586" spans="1:4" x14ac:dyDescent="0.3">
      <c r="A586" s="18"/>
      <c r="B586" s="19"/>
      <c r="C586" s="19"/>
      <c r="D586" s="22"/>
    </row>
    <row r="587" spans="1:4" x14ac:dyDescent="0.3">
      <c r="A587" s="18"/>
      <c r="B587" s="19"/>
      <c r="C587" s="19"/>
      <c r="D587" s="22"/>
    </row>
    <row r="588" spans="1:4" x14ac:dyDescent="0.3">
      <c r="A588" s="18"/>
      <c r="B588" s="19"/>
      <c r="C588" s="19"/>
      <c r="D588" s="22"/>
    </row>
    <row r="589" spans="1:4" x14ac:dyDescent="0.3">
      <c r="A589" s="18"/>
      <c r="B589" s="19"/>
      <c r="C589" s="19"/>
      <c r="D589" s="22"/>
    </row>
    <row r="590" spans="1:4" x14ac:dyDescent="0.3">
      <c r="A590" s="18"/>
      <c r="B590" s="19"/>
      <c r="C590" s="19"/>
      <c r="D590" s="22"/>
    </row>
    <row r="591" spans="1:4" x14ac:dyDescent="0.3">
      <c r="A591" s="18"/>
      <c r="B591" s="19"/>
      <c r="C591" s="19"/>
      <c r="D591" s="22"/>
    </row>
    <row r="592" spans="1:4" x14ac:dyDescent="0.3">
      <c r="A592" s="18"/>
      <c r="B592" s="19"/>
      <c r="C592" s="19"/>
      <c r="D592" s="22"/>
    </row>
    <row r="593" spans="1:4" x14ac:dyDescent="0.3">
      <c r="A593" s="18"/>
      <c r="B593" s="19"/>
      <c r="C593" s="19"/>
      <c r="D593" s="22"/>
    </row>
    <row r="594" spans="1:4" x14ac:dyDescent="0.3">
      <c r="A594" s="18"/>
      <c r="B594" s="19"/>
      <c r="C594" s="19"/>
      <c r="D594" s="22"/>
    </row>
    <row r="595" spans="1:4" x14ac:dyDescent="0.3">
      <c r="A595" s="18"/>
      <c r="B595" s="19"/>
      <c r="C595" s="19"/>
      <c r="D595" s="22"/>
    </row>
    <row r="596" spans="1:4" x14ac:dyDescent="0.3">
      <c r="A596" s="18"/>
      <c r="B596" s="19"/>
      <c r="C596" s="19"/>
      <c r="D596" s="22"/>
    </row>
    <row r="597" spans="1:4" x14ac:dyDescent="0.3">
      <c r="A597" s="18"/>
      <c r="B597" s="19"/>
      <c r="C597" s="19"/>
      <c r="D597" s="22"/>
    </row>
    <row r="598" spans="1:4" x14ac:dyDescent="0.3">
      <c r="A598" s="18"/>
      <c r="B598" s="19"/>
      <c r="C598" s="19"/>
      <c r="D598" s="22"/>
    </row>
    <row r="599" spans="1:4" x14ac:dyDescent="0.3">
      <c r="A599" s="18"/>
      <c r="B599" s="19"/>
      <c r="C599" s="19"/>
      <c r="D599" s="22"/>
    </row>
    <row r="600" spans="1:4" x14ac:dyDescent="0.3">
      <c r="A600" s="18"/>
      <c r="B600" s="19"/>
      <c r="C600" s="19"/>
      <c r="D600" s="22"/>
    </row>
    <row r="601" spans="1:4" x14ac:dyDescent="0.3">
      <c r="A601" s="18"/>
      <c r="B601" s="19"/>
      <c r="C601" s="19"/>
      <c r="D601" s="22"/>
    </row>
    <row r="602" spans="1:4" x14ac:dyDescent="0.3">
      <c r="A602" s="18"/>
      <c r="B602" s="19"/>
      <c r="C602" s="19"/>
      <c r="D602" s="22"/>
    </row>
    <row r="603" spans="1:4" x14ac:dyDescent="0.3">
      <c r="A603" s="18"/>
      <c r="B603" s="19"/>
      <c r="C603" s="19"/>
      <c r="D603" s="22"/>
    </row>
    <row r="604" spans="1:4" x14ac:dyDescent="0.3">
      <c r="A604" s="18"/>
      <c r="B604" s="19"/>
      <c r="C604" s="19"/>
      <c r="D604" s="22"/>
    </row>
    <row r="605" spans="1:4" x14ac:dyDescent="0.3">
      <c r="A605" s="18"/>
      <c r="B605" s="19"/>
      <c r="C605" s="19"/>
      <c r="D605" s="22"/>
    </row>
    <row r="606" spans="1:4" x14ac:dyDescent="0.3">
      <c r="A606" s="18"/>
      <c r="B606" s="19"/>
      <c r="C606" s="19"/>
      <c r="D606" s="22"/>
    </row>
    <row r="607" spans="1:4" x14ac:dyDescent="0.3">
      <c r="A607" s="18"/>
      <c r="B607" s="19"/>
      <c r="C607" s="19"/>
      <c r="D607" s="22"/>
    </row>
    <row r="608" spans="1:4" x14ac:dyDescent="0.3">
      <c r="A608" s="18"/>
      <c r="B608" s="19"/>
      <c r="C608" s="19"/>
      <c r="D608" s="22"/>
    </row>
    <row r="609" spans="1:4" x14ac:dyDescent="0.3">
      <c r="A609" s="18"/>
      <c r="B609" s="19"/>
      <c r="C609" s="19"/>
      <c r="D609" s="22"/>
    </row>
    <row r="610" spans="1:4" x14ac:dyDescent="0.3">
      <c r="A610" s="18"/>
      <c r="B610" s="19"/>
      <c r="C610" s="19"/>
      <c r="D610" s="22"/>
    </row>
    <row r="611" spans="1:4" x14ac:dyDescent="0.3">
      <c r="A611" s="18"/>
      <c r="B611" s="19"/>
      <c r="C611" s="19"/>
      <c r="D611" s="22"/>
    </row>
    <row r="612" spans="1:4" x14ac:dyDescent="0.3">
      <c r="A612" s="18"/>
      <c r="B612" s="19"/>
      <c r="C612" s="19"/>
      <c r="D612" s="22"/>
    </row>
    <row r="613" spans="1:4" x14ac:dyDescent="0.3">
      <c r="A613" s="18"/>
      <c r="B613" s="19"/>
      <c r="C613" s="19"/>
      <c r="D613" s="22"/>
    </row>
    <row r="614" spans="1:4" x14ac:dyDescent="0.3">
      <c r="A614" s="18"/>
      <c r="B614" s="19"/>
      <c r="C614" s="19"/>
      <c r="D614" s="22"/>
    </row>
    <row r="615" spans="1:4" x14ac:dyDescent="0.3">
      <c r="A615" s="18"/>
      <c r="B615" s="19"/>
      <c r="C615" s="19"/>
      <c r="D615" s="22"/>
    </row>
    <row r="616" spans="1:4" x14ac:dyDescent="0.3">
      <c r="A616" s="18"/>
      <c r="B616" s="19"/>
      <c r="C616" s="19"/>
      <c r="D616" s="22"/>
    </row>
    <row r="617" spans="1:4" x14ac:dyDescent="0.3">
      <c r="A617" s="18"/>
      <c r="B617" s="19"/>
      <c r="C617" s="19"/>
      <c r="D617" s="22"/>
    </row>
    <row r="618" spans="1:4" x14ac:dyDescent="0.3">
      <c r="A618" s="18"/>
      <c r="B618" s="19"/>
      <c r="C618" s="19"/>
      <c r="D618" s="22"/>
    </row>
    <row r="619" spans="1:4" x14ac:dyDescent="0.3">
      <c r="A619" s="18"/>
      <c r="B619" s="19"/>
      <c r="C619" s="19"/>
      <c r="D619" s="22"/>
    </row>
    <row r="620" spans="1:4" x14ac:dyDescent="0.3">
      <c r="A620" s="18"/>
      <c r="B620" s="19"/>
      <c r="C620" s="19"/>
      <c r="D620" s="22"/>
    </row>
    <row r="621" spans="1:4" x14ac:dyDescent="0.3">
      <c r="A621" s="18"/>
      <c r="B621" s="19"/>
      <c r="C621" s="19"/>
      <c r="D621" s="22"/>
    </row>
    <row r="622" spans="1:4" x14ac:dyDescent="0.3">
      <c r="A622" s="18"/>
      <c r="B622" s="19"/>
      <c r="C622" s="19"/>
      <c r="D622" s="22"/>
    </row>
    <row r="623" spans="1:4" x14ac:dyDescent="0.3">
      <c r="A623" s="18"/>
      <c r="B623" s="19"/>
      <c r="C623" s="19"/>
      <c r="D623" s="22"/>
    </row>
    <row r="624" spans="1:4" x14ac:dyDescent="0.3">
      <c r="A624" s="18"/>
      <c r="B624" s="19"/>
      <c r="C624" s="19"/>
      <c r="D624" s="22"/>
    </row>
    <row r="625" spans="1:4" x14ac:dyDescent="0.3">
      <c r="A625" s="18"/>
      <c r="B625" s="19"/>
      <c r="C625" s="19"/>
      <c r="D625" s="22"/>
    </row>
    <row r="626" spans="1:4" x14ac:dyDescent="0.3">
      <c r="A626" s="18"/>
      <c r="B626" s="19"/>
      <c r="C626" s="19"/>
      <c r="D626" s="22"/>
    </row>
    <row r="627" spans="1:4" x14ac:dyDescent="0.3">
      <c r="A627" s="18"/>
      <c r="B627" s="19"/>
      <c r="C627" s="19"/>
      <c r="D627" s="22"/>
    </row>
    <row r="628" spans="1:4" x14ac:dyDescent="0.3">
      <c r="A628" s="18"/>
      <c r="B628" s="19"/>
      <c r="C628" s="19"/>
      <c r="D628" s="22"/>
    </row>
    <row r="629" spans="1:4" x14ac:dyDescent="0.3">
      <c r="A629" s="18"/>
      <c r="B629" s="19"/>
      <c r="C629" s="19"/>
      <c r="D629" s="22"/>
    </row>
    <row r="630" spans="1:4" x14ac:dyDescent="0.3">
      <c r="A630" s="18"/>
      <c r="B630" s="19"/>
      <c r="C630" s="19"/>
      <c r="D630" s="22"/>
    </row>
    <row r="631" spans="1:4" x14ac:dyDescent="0.3">
      <c r="A631" s="18"/>
      <c r="B631" s="19"/>
      <c r="C631" s="19"/>
      <c r="D631" s="22"/>
    </row>
    <row r="632" spans="1:4" x14ac:dyDescent="0.3">
      <c r="A632" s="18"/>
      <c r="B632" s="19"/>
      <c r="C632" s="19"/>
      <c r="D632" s="22"/>
    </row>
    <row r="633" spans="1:4" x14ac:dyDescent="0.3">
      <c r="A633" s="18"/>
      <c r="B633" s="19"/>
      <c r="C633" s="19"/>
      <c r="D633" s="22"/>
    </row>
    <row r="634" spans="1:4" x14ac:dyDescent="0.3">
      <c r="A634" s="18"/>
      <c r="B634" s="19"/>
      <c r="C634" s="19"/>
      <c r="D634" s="22"/>
    </row>
    <row r="635" spans="1:4" x14ac:dyDescent="0.3">
      <c r="A635" s="18"/>
      <c r="B635" s="19"/>
      <c r="C635" s="19"/>
      <c r="D635" s="22"/>
    </row>
    <row r="636" spans="1:4" x14ac:dyDescent="0.3">
      <c r="A636" s="18"/>
      <c r="B636" s="19"/>
      <c r="C636" s="19"/>
      <c r="D636" s="22"/>
    </row>
    <row r="637" spans="1:4" x14ac:dyDescent="0.3">
      <c r="A637" s="18"/>
      <c r="B637" s="19"/>
      <c r="C637" s="19"/>
      <c r="D637" s="22"/>
    </row>
    <row r="638" spans="1:4" x14ac:dyDescent="0.3">
      <c r="A638" s="18"/>
      <c r="B638" s="19"/>
      <c r="C638" s="19"/>
      <c r="D638" s="22"/>
    </row>
    <row r="639" spans="1:4" x14ac:dyDescent="0.3">
      <c r="A639" s="18"/>
      <c r="B639" s="19"/>
      <c r="C639" s="19"/>
      <c r="D639" s="22"/>
    </row>
    <row r="640" spans="1:4" x14ac:dyDescent="0.3">
      <c r="A640" s="18"/>
      <c r="B640" s="19"/>
      <c r="C640" s="19"/>
      <c r="D640" s="22"/>
    </row>
    <row r="641" spans="1:4" x14ac:dyDescent="0.3">
      <c r="A641" s="18"/>
      <c r="B641" s="19"/>
      <c r="C641" s="19"/>
      <c r="D641" s="22"/>
    </row>
    <row r="642" spans="1:4" x14ac:dyDescent="0.3">
      <c r="A642" s="18"/>
      <c r="B642" s="19"/>
      <c r="C642" s="19"/>
      <c r="D642" s="22"/>
    </row>
    <row r="643" spans="1:4" x14ac:dyDescent="0.3">
      <c r="A643" s="18"/>
      <c r="B643" s="19"/>
      <c r="C643" s="19"/>
      <c r="D643" s="22"/>
    </row>
    <row r="644" spans="1:4" x14ac:dyDescent="0.3">
      <c r="A644" s="18"/>
      <c r="B644" s="19"/>
      <c r="C644" s="19"/>
      <c r="D644" s="22"/>
    </row>
    <row r="645" spans="1:4" x14ac:dyDescent="0.3">
      <c r="A645" s="18"/>
      <c r="B645" s="19"/>
      <c r="C645" s="19"/>
      <c r="D645" s="22"/>
    </row>
    <row r="646" spans="1:4" x14ac:dyDescent="0.3">
      <c r="A646" s="18"/>
      <c r="B646" s="19"/>
      <c r="C646" s="19"/>
      <c r="D646" s="22"/>
    </row>
    <row r="647" spans="1:4" x14ac:dyDescent="0.3">
      <c r="A647" s="18"/>
      <c r="B647" s="19"/>
      <c r="C647" s="19"/>
      <c r="D647" s="22"/>
    </row>
    <row r="648" spans="1:4" x14ac:dyDescent="0.3">
      <c r="A648" s="18"/>
      <c r="B648" s="19"/>
      <c r="C648" s="19"/>
      <c r="D648" s="22"/>
    </row>
    <row r="649" spans="1:4" x14ac:dyDescent="0.3">
      <c r="A649" s="18"/>
      <c r="B649" s="19"/>
      <c r="C649" s="19"/>
      <c r="D649" s="22"/>
    </row>
    <row r="650" spans="1:4" x14ac:dyDescent="0.3">
      <c r="A650" s="18"/>
      <c r="B650" s="19"/>
      <c r="C650" s="19"/>
      <c r="D650" s="22"/>
    </row>
    <row r="651" spans="1:4" x14ac:dyDescent="0.3">
      <c r="A651" s="18"/>
      <c r="B651" s="19"/>
      <c r="C651" s="19"/>
      <c r="D651" s="22"/>
    </row>
    <row r="652" spans="1:4" x14ac:dyDescent="0.3">
      <c r="A652" s="18"/>
      <c r="B652" s="19"/>
      <c r="C652" s="19"/>
      <c r="D652" s="22"/>
    </row>
    <row r="653" spans="1:4" x14ac:dyDescent="0.3">
      <c r="A653" s="18"/>
      <c r="B653" s="19"/>
      <c r="C653" s="19"/>
      <c r="D653" s="22"/>
    </row>
    <row r="654" spans="1:4" x14ac:dyDescent="0.3">
      <c r="A654" s="18"/>
      <c r="B654" s="19"/>
      <c r="C654" s="19"/>
      <c r="D654" s="22"/>
    </row>
    <row r="655" spans="1:4" x14ac:dyDescent="0.3">
      <c r="A655" s="18"/>
      <c r="B655" s="19"/>
      <c r="C655" s="19"/>
      <c r="D655" s="22"/>
    </row>
    <row r="656" spans="1:4" x14ac:dyDescent="0.3">
      <c r="A656" s="18"/>
      <c r="B656" s="19"/>
      <c r="C656" s="19"/>
      <c r="D656" s="22"/>
    </row>
    <row r="657" spans="1:4" x14ac:dyDescent="0.3">
      <c r="A657" s="18"/>
      <c r="B657" s="19"/>
      <c r="C657" s="19"/>
      <c r="D657" s="22"/>
    </row>
    <row r="658" spans="1:4" x14ac:dyDescent="0.3">
      <c r="A658" s="18"/>
      <c r="B658" s="19"/>
      <c r="C658" s="19"/>
      <c r="D658" s="22"/>
    </row>
    <row r="659" spans="1:4" x14ac:dyDescent="0.3">
      <c r="A659" s="18"/>
      <c r="B659" s="19"/>
      <c r="C659" s="19"/>
      <c r="D659" s="22"/>
    </row>
    <row r="660" spans="1:4" x14ac:dyDescent="0.3">
      <c r="A660" s="18"/>
      <c r="B660" s="19"/>
      <c r="C660" s="19"/>
      <c r="D660" s="22"/>
    </row>
    <row r="661" spans="1:4" x14ac:dyDescent="0.3">
      <c r="A661" s="18"/>
      <c r="B661" s="19"/>
      <c r="C661" s="19"/>
      <c r="D661" s="22"/>
    </row>
    <row r="662" spans="1:4" x14ac:dyDescent="0.3">
      <c r="A662" s="18"/>
      <c r="B662" s="19"/>
      <c r="C662" s="19"/>
      <c r="D662" s="22"/>
    </row>
    <row r="663" spans="1:4" x14ac:dyDescent="0.3">
      <c r="A663" s="18"/>
      <c r="B663" s="19"/>
      <c r="C663" s="19"/>
      <c r="D663" s="22"/>
    </row>
    <row r="664" spans="1:4" x14ac:dyDescent="0.3">
      <c r="A664" s="18"/>
      <c r="B664" s="19"/>
      <c r="C664" s="19"/>
      <c r="D664" s="22"/>
    </row>
    <row r="665" spans="1:4" x14ac:dyDescent="0.3">
      <c r="A665" s="18"/>
      <c r="B665" s="19"/>
      <c r="C665" s="19"/>
      <c r="D665" s="22"/>
    </row>
    <row r="666" spans="1:4" x14ac:dyDescent="0.3">
      <c r="A666" s="18"/>
      <c r="B666" s="19"/>
      <c r="C666" s="19"/>
      <c r="D666" s="22"/>
    </row>
    <row r="667" spans="1:4" x14ac:dyDescent="0.3">
      <c r="A667" s="18"/>
      <c r="B667" s="19"/>
      <c r="C667" s="19"/>
      <c r="D667" s="22"/>
    </row>
    <row r="668" spans="1:4" x14ac:dyDescent="0.3">
      <c r="A668" s="18"/>
      <c r="B668" s="19"/>
      <c r="C668" s="19"/>
      <c r="D668" s="22"/>
    </row>
    <row r="669" spans="1:4" x14ac:dyDescent="0.3">
      <c r="A669" s="18"/>
      <c r="B669" s="19"/>
      <c r="C669" s="19"/>
      <c r="D669" s="22"/>
    </row>
    <row r="670" spans="1:4" x14ac:dyDescent="0.3">
      <c r="A670" s="18"/>
      <c r="B670" s="19"/>
      <c r="C670" s="19"/>
      <c r="D670" s="22"/>
    </row>
    <row r="671" spans="1:4" x14ac:dyDescent="0.3">
      <c r="A671" s="18"/>
      <c r="B671" s="19"/>
      <c r="C671" s="19"/>
      <c r="D671" s="22"/>
    </row>
    <row r="672" spans="1:4" x14ac:dyDescent="0.3">
      <c r="A672" s="18"/>
      <c r="B672" s="19"/>
      <c r="C672" s="19"/>
      <c r="D672" s="22"/>
    </row>
    <row r="673" spans="1:4" x14ac:dyDescent="0.3">
      <c r="A673" s="18"/>
      <c r="B673" s="19"/>
      <c r="C673" s="19"/>
      <c r="D673" s="22"/>
    </row>
    <row r="674" spans="1:4" x14ac:dyDescent="0.3">
      <c r="A674" s="18"/>
      <c r="B674" s="19"/>
      <c r="C674" s="19"/>
      <c r="D674" s="22"/>
    </row>
    <row r="675" spans="1:4" x14ac:dyDescent="0.3">
      <c r="A675" s="18"/>
      <c r="B675" s="19"/>
      <c r="C675" s="19"/>
      <c r="D675" s="22"/>
    </row>
    <row r="676" spans="1:4" x14ac:dyDescent="0.3">
      <c r="A676" s="18"/>
      <c r="B676" s="19"/>
      <c r="C676" s="19"/>
      <c r="D676" s="22"/>
    </row>
    <row r="677" spans="1:4" x14ac:dyDescent="0.3">
      <c r="A677" s="18"/>
      <c r="B677" s="19"/>
      <c r="C677" s="19"/>
      <c r="D677" s="22"/>
    </row>
    <row r="678" spans="1:4" x14ac:dyDescent="0.3">
      <c r="A678" s="18"/>
      <c r="B678" s="19"/>
      <c r="C678" s="19"/>
      <c r="D678" s="22"/>
    </row>
    <row r="679" spans="1:4" x14ac:dyDescent="0.3">
      <c r="A679" s="18"/>
      <c r="B679" s="19"/>
      <c r="C679" s="19"/>
      <c r="D679" s="22"/>
    </row>
    <row r="680" spans="1:4" x14ac:dyDescent="0.3">
      <c r="A680" s="18"/>
      <c r="B680" s="19"/>
      <c r="C680" s="19"/>
      <c r="D680" s="22"/>
    </row>
    <row r="681" spans="1:4" x14ac:dyDescent="0.3">
      <c r="A681" s="18"/>
      <c r="B681" s="19"/>
      <c r="C681" s="19"/>
      <c r="D681" s="22"/>
    </row>
    <row r="682" spans="1:4" x14ac:dyDescent="0.3">
      <c r="A682" s="18"/>
      <c r="B682" s="19"/>
      <c r="C682" s="19"/>
      <c r="D682" s="22"/>
    </row>
    <row r="683" spans="1:4" x14ac:dyDescent="0.3">
      <c r="A683" s="18"/>
      <c r="B683" s="19"/>
      <c r="C683" s="19"/>
      <c r="D683" s="22"/>
    </row>
    <row r="684" spans="1:4" x14ac:dyDescent="0.3">
      <c r="A684" s="18"/>
      <c r="B684" s="19"/>
      <c r="C684" s="19"/>
      <c r="D684" s="22"/>
    </row>
    <row r="685" spans="1:4" x14ac:dyDescent="0.3">
      <c r="A685" s="18"/>
      <c r="B685" s="19"/>
      <c r="C685" s="19"/>
      <c r="D685" s="22"/>
    </row>
    <row r="686" spans="1:4" x14ac:dyDescent="0.3">
      <c r="A686" s="18"/>
      <c r="B686" s="19"/>
      <c r="C686" s="19"/>
      <c r="D686" s="22"/>
    </row>
    <row r="687" spans="1:4" x14ac:dyDescent="0.3">
      <c r="A687" s="18"/>
      <c r="B687" s="19"/>
      <c r="C687" s="19"/>
      <c r="D687" s="22"/>
    </row>
    <row r="688" spans="1:4" x14ac:dyDescent="0.3">
      <c r="A688" s="18"/>
      <c r="B688" s="19"/>
      <c r="C688" s="19"/>
      <c r="D688" s="22"/>
    </row>
    <row r="689" spans="1:4" x14ac:dyDescent="0.3">
      <c r="A689" s="18"/>
      <c r="B689" s="19"/>
      <c r="C689" s="19"/>
      <c r="D689" s="22"/>
    </row>
    <row r="690" spans="1:4" x14ac:dyDescent="0.3">
      <c r="A690" s="18"/>
      <c r="B690" s="19"/>
      <c r="C690" s="19"/>
      <c r="D690" s="22"/>
    </row>
    <row r="691" spans="1:4" x14ac:dyDescent="0.3">
      <c r="A691" s="18"/>
      <c r="B691" s="19"/>
      <c r="C691" s="19"/>
      <c r="D691" s="22"/>
    </row>
    <row r="692" spans="1:4" x14ac:dyDescent="0.3">
      <c r="A692" s="18"/>
      <c r="B692" s="19"/>
      <c r="C692" s="19"/>
      <c r="D692" s="22"/>
    </row>
    <row r="693" spans="1:4" x14ac:dyDescent="0.3">
      <c r="A693" s="18"/>
      <c r="B693" s="19"/>
      <c r="C693" s="19"/>
      <c r="D693" s="22"/>
    </row>
    <row r="694" spans="1:4" x14ac:dyDescent="0.3">
      <c r="A694" s="18"/>
      <c r="B694" s="19"/>
      <c r="C694" s="19"/>
      <c r="D694" s="22"/>
    </row>
    <row r="695" spans="1:4" x14ac:dyDescent="0.3">
      <c r="A695" s="18"/>
      <c r="B695" s="19"/>
      <c r="C695" s="19"/>
      <c r="D695" s="22"/>
    </row>
    <row r="696" spans="1:4" x14ac:dyDescent="0.3">
      <c r="A696" s="18"/>
      <c r="B696" s="19"/>
      <c r="C696" s="19"/>
      <c r="D696" s="22"/>
    </row>
    <row r="697" spans="1:4" x14ac:dyDescent="0.3">
      <c r="A697" s="18"/>
      <c r="B697" s="19"/>
      <c r="C697" s="19"/>
      <c r="D697" s="22"/>
    </row>
    <row r="698" spans="1:4" x14ac:dyDescent="0.3">
      <c r="A698" s="18"/>
      <c r="B698" s="19"/>
      <c r="C698" s="19"/>
      <c r="D698" s="22"/>
    </row>
    <row r="699" spans="1:4" x14ac:dyDescent="0.3">
      <c r="A699" s="18"/>
      <c r="B699" s="19"/>
      <c r="C699" s="19"/>
      <c r="D699" s="22"/>
    </row>
    <row r="700" spans="1:4" x14ac:dyDescent="0.3">
      <c r="A700" s="18"/>
      <c r="B700" s="19"/>
      <c r="C700" s="19"/>
      <c r="D700" s="22"/>
    </row>
    <row r="701" spans="1:4" x14ac:dyDescent="0.3">
      <c r="A701" s="18"/>
      <c r="B701" s="19"/>
      <c r="C701" s="19"/>
      <c r="D701" s="22"/>
    </row>
    <row r="702" spans="1:4" x14ac:dyDescent="0.3">
      <c r="A702" s="18"/>
      <c r="B702" s="19"/>
      <c r="C702" s="19"/>
      <c r="D702" s="22"/>
    </row>
    <row r="703" spans="1:4" x14ac:dyDescent="0.3">
      <c r="A703" s="18"/>
      <c r="B703" s="19"/>
      <c r="C703" s="19"/>
      <c r="D703" s="22"/>
    </row>
    <row r="704" spans="1:4" x14ac:dyDescent="0.3">
      <c r="A704" s="18"/>
      <c r="B704" s="19"/>
      <c r="C704" s="19"/>
      <c r="D704" s="22"/>
    </row>
    <row r="705" spans="1:4" x14ac:dyDescent="0.3">
      <c r="A705" s="18"/>
      <c r="B705" s="19"/>
      <c r="C705" s="19"/>
      <c r="D705" s="22"/>
    </row>
    <row r="706" spans="1:4" x14ac:dyDescent="0.3">
      <c r="A706" s="18"/>
      <c r="B706" s="19"/>
      <c r="C706" s="19"/>
      <c r="D706" s="22"/>
    </row>
    <row r="707" spans="1:4" x14ac:dyDescent="0.3">
      <c r="A707" s="18"/>
      <c r="B707" s="19"/>
      <c r="C707" s="19"/>
      <c r="D707" s="22"/>
    </row>
    <row r="708" spans="1:4" x14ac:dyDescent="0.3">
      <c r="A708" s="18"/>
      <c r="B708" s="19"/>
      <c r="C708" s="19"/>
      <c r="D708" s="22"/>
    </row>
    <row r="709" spans="1:4" x14ac:dyDescent="0.3">
      <c r="A709" s="18"/>
      <c r="B709" s="19"/>
      <c r="C709" s="19"/>
      <c r="D709" s="22"/>
    </row>
    <row r="710" spans="1:4" x14ac:dyDescent="0.3">
      <c r="A710" s="18"/>
      <c r="B710" s="19"/>
      <c r="C710" s="19"/>
      <c r="D710" s="22"/>
    </row>
    <row r="711" spans="1:4" x14ac:dyDescent="0.3">
      <c r="A711" s="18"/>
      <c r="B711" s="19"/>
      <c r="C711" s="19"/>
      <c r="D711" s="22"/>
    </row>
    <row r="712" spans="1:4" x14ac:dyDescent="0.3">
      <c r="A712" s="18"/>
      <c r="B712" s="19"/>
      <c r="C712" s="19"/>
      <c r="D712" s="22"/>
    </row>
    <row r="713" spans="1:4" x14ac:dyDescent="0.3">
      <c r="A713" s="18"/>
      <c r="B713" s="19"/>
      <c r="C713" s="19"/>
      <c r="D713" s="22"/>
    </row>
    <row r="714" spans="1:4" x14ac:dyDescent="0.3">
      <c r="A714" s="18"/>
      <c r="B714" s="19"/>
      <c r="C714" s="19"/>
      <c r="D714" s="22"/>
    </row>
    <row r="715" spans="1:4" x14ac:dyDescent="0.3">
      <c r="A715" s="18"/>
      <c r="B715" s="19"/>
      <c r="C715" s="19"/>
      <c r="D715" s="22"/>
    </row>
    <row r="716" spans="1:4" x14ac:dyDescent="0.3">
      <c r="A716" s="18"/>
      <c r="B716" s="19"/>
      <c r="C716" s="19"/>
      <c r="D716" s="22"/>
    </row>
    <row r="717" spans="1:4" x14ac:dyDescent="0.3">
      <c r="A717" s="18"/>
      <c r="B717" s="19"/>
      <c r="C717" s="19"/>
      <c r="D717" s="22"/>
    </row>
    <row r="718" spans="1:4" x14ac:dyDescent="0.3">
      <c r="A718" s="18"/>
      <c r="B718" s="19"/>
      <c r="C718" s="19"/>
      <c r="D718" s="22"/>
    </row>
    <row r="719" spans="1:4" x14ac:dyDescent="0.3">
      <c r="A719" s="18"/>
      <c r="B719" s="19"/>
      <c r="C719" s="19"/>
      <c r="D719" s="22"/>
    </row>
    <row r="720" spans="1:4" x14ac:dyDescent="0.3">
      <c r="A720" s="18"/>
      <c r="B720" s="19"/>
      <c r="C720" s="19"/>
      <c r="D720" s="22"/>
    </row>
    <row r="721" spans="1:4" x14ac:dyDescent="0.3">
      <c r="A721" s="18"/>
      <c r="B721" s="19"/>
      <c r="C721" s="19"/>
      <c r="D721" s="22"/>
    </row>
    <row r="722" spans="1:4" x14ac:dyDescent="0.3">
      <c r="A722" s="18"/>
      <c r="B722" s="19"/>
      <c r="C722" s="19"/>
      <c r="D722" s="22"/>
    </row>
    <row r="723" spans="1:4" x14ac:dyDescent="0.3">
      <c r="A723" s="18"/>
      <c r="B723" s="19"/>
      <c r="C723" s="19"/>
      <c r="D723" s="22"/>
    </row>
    <row r="724" spans="1:4" x14ac:dyDescent="0.3">
      <c r="A724" s="18"/>
      <c r="B724" s="19"/>
      <c r="C724" s="19"/>
      <c r="D724" s="22"/>
    </row>
    <row r="725" spans="1:4" x14ac:dyDescent="0.3">
      <c r="A725" s="18"/>
      <c r="B725" s="19"/>
      <c r="C725" s="19"/>
      <c r="D725" s="22"/>
    </row>
    <row r="726" spans="1:4" x14ac:dyDescent="0.3">
      <c r="A726" s="18"/>
      <c r="B726" s="19"/>
      <c r="C726" s="19"/>
      <c r="D726" s="22"/>
    </row>
    <row r="727" spans="1:4" x14ac:dyDescent="0.3">
      <c r="A727" s="18"/>
      <c r="B727" s="19"/>
      <c r="C727" s="19"/>
      <c r="D727" s="22"/>
    </row>
    <row r="728" spans="1:4" x14ac:dyDescent="0.3">
      <c r="A728" s="18"/>
      <c r="B728" s="19"/>
      <c r="C728" s="19"/>
      <c r="D728" s="22"/>
    </row>
    <row r="729" spans="1:4" x14ac:dyDescent="0.3">
      <c r="A729" s="18"/>
      <c r="B729" s="19"/>
      <c r="C729" s="19"/>
      <c r="D729" s="22"/>
    </row>
    <row r="730" spans="1:4" x14ac:dyDescent="0.3">
      <c r="A730" s="18"/>
      <c r="B730" s="19"/>
      <c r="C730" s="19"/>
      <c r="D730" s="22"/>
    </row>
    <row r="731" spans="1:4" x14ac:dyDescent="0.3">
      <c r="A731" s="18"/>
      <c r="B731" s="19"/>
      <c r="C731" s="19"/>
      <c r="D731" s="22"/>
    </row>
    <row r="732" spans="1:4" x14ac:dyDescent="0.3">
      <c r="A732" s="18"/>
      <c r="B732" s="19"/>
      <c r="C732" s="19"/>
      <c r="D732" s="22"/>
    </row>
    <row r="733" spans="1:4" x14ac:dyDescent="0.3">
      <c r="A733" s="18"/>
      <c r="B733" s="19"/>
      <c r="C733" s="19"/>
      <c r="D733" s="22"/>
    </row>
    <row r="734" spans="1:4" x14ac:dyDescent="0.3">
      <c r="A734" s="18"/>
      <c r="B734" s="19"/>
      <c r="C734" s="19"/>
      <c r="D734" s="22"/>
    </row>
    <row r="735" spans="1:4" x14ac:dyDescent="0.3">
      <c r="A735" s="18"/>
      <c r="B735" s="19"/>
      <c r="C735" s="19"/>
      <c r="D735" s="22"/>
    </row>
    <row r="736" spans="1:4" x14ac:dyDescent="0.3">
      <c r="A736" s="18"/>
      <c r="B736" s="19"/>
      <c r="C736" s="19"/>
      <c r="D736" s="22"/>
    </row>
    <row r="737" spans="1:4" x14ac:dyDescent="0.3">
      <c r="A737" s="18"/>
      <c r="B737" s="19"/>
      <c r="C737" s="19"/>
      <c r="D737" s="22"/>
    </row>
    <row r="738" spans="1:4" x14ac:dyDescent="0.3">
      <c r="A738" s="18"/>
      <c r="B738" s="19"/>
      <c r="C738" s="19"/>
      <c r="D738" s="22"/>
    </row>
    <row r="739" spans="1:4" x14ac:dyDescent="0.3">
      <c r="A739" s="18"/>
      <c r="B739" s="19"/>
      <c r="C739" s="19"/>
      <c r="D739" s="22"/>
    </row>
    <row r="740" spans="1:4" x14ac:dyDescent="0.3">
      <c r="A740" s="18"/>
      <c r="B740" s="19"/>
      <c r="C740" s="19"/>
      <c r="D740" s="22"/>
    </row>
    <row r="741" spans="1:4" x14ac:dyDescent="0.3">
      <c r="A741" s="18"/>
      <c r="B741" s="19"/>
      <c r="C741" s="19"/>
      <c r="D741" s="22"/>
    </row>
    <row r="742" spans="1:4" x14ac:dyDescent="0.3">
      <c r="A742" s="18"/>
      <c r="B742" s="19"/>
      <c r="C742" s="19"/>
      <c r="D742" s="22"/>
    </row>
    <row r="743" spans="1:4" x14ac:dyDescent="0.3">
      <c r="A743" s="18"/>
      <c r="B743" s="19"/>
      <c r="C743" s="19"/>
      <c r="D743" s="22"/>
    </row>
    <row r="744" spans="1:4" x14ac:dyDescent="0.3">
      <c r="A744" s="18"/>
      <c r="B744" s="19"/>
      <c r="C744" s="19"/>
      <c r="D744" s="22"/>
    </row>
    <row r="745" spans="1:4" x14ac:dyDescent="0.3">
      <c r="A745" s="18"/>
      <c r="B745" s="19"/>
      <c r="C745" s="19"/>
      <c r="D745" s="22"/>
    </row>
    <row r="746" spans="1:4" x14ac:dyDescent="0.3">
      <c r="A746" s="18"/>
      <c r="B746" s="19"/>
      <c r="C746" s="19"/>
      <c r="D746" s="22"/>
    </row>
    <row r="747" spans="1:4" x14ac:dyDescent="0.3">
      <c r="A747" s="18"/>
      <c r="B747" s="19"/>
      <c r="C747" s="19"/>
      <c r="D747" s="22"/>
    </row>
    <row r="748" spans="1:4" x14ac:dyDescent="0.3">
      <c r="A748" s="18"/>
      <c r="B748" s="19"/>
      <c r="C748" s="19"/>
      <c r="D748" s="22"/>
    </row>
    <row r="749" spans="1:4" x14ac:dyDescent="0.3">
      <c r="A749" s="18"/>
      <c r="B749" s="19"/>
      <c r="C749" s="19"/>
      <c r="D749" s="22"/>
    </row>
    <row r="750" spans="1:4" x14ac:dyDescent="0.3">
      <c r="A750" s="18"/>
      <c r="B750" s="19"/>
      <c r="C750" s="19"/>
      <c r="D750" s="22"/>
    </row>
    <row r="751" spans="1:4" x14ac:dyDescent="0.3">
      <c r="A751" s="18"/>
      <c r="B751" s="19"/>
      <c r="C751" s="19"/>
      <c r="D751" s="22"/>
    </row>
    <row r="752" spans="1:4" x14ac:dyDescent="0.3">
      <c r="A752" s="18"/>
      <c r="B752" s="19"/>
      <c r="C752" s="19"/>
      <c r="D752" s="22"/>
    </row>
    <row r="753" spans="1:4" x14ac:dyDescent="0.3">
      <c r="A753" s="18"/>
      <c r="B753" s="19"/>
      <c r="C753" s="19"/>
      <c r="D753" s="22"/>
    </row>
    <row r="754" spans="1:4" x14ac:dyDescent="0.3">
      <c r="A754" s="18"/>
      <c r="B754" s="19"/>
      <c r="C754" s="19"/>
      <c r="D754" s="22"/>
    </row>
    <row r="755" spans="1:4" x14ac:dyDescent="0.3">
      <c r="A755" s="18"/>
      <c r="B755" s="19"/>
      <c r="C755" s="19"/>
      <c r="D755" s="22"/>
    </row>
    <row r="756" spans="1:4" x14ac:dyDescent="0.3">
      <c r="A756" s="18"/>
      <c r="B756" s="19"/>
      <c r="C756" s="19"/>
      <c r="D756" s="22"/>
    </row>
    <row r="757" spans="1:4" x14ac:dyDescent="0.3">
      <c r="A757" s="18"/>
      <c r="B757" s="19"/>
      <c r="C757" s="19"/>
      <c r="D757" s="22"/>
    </row>
    <row r="758" spans="1:4" x14ac:dyDescent="0.3">
      <c r="A758" s="18"/>
      <c r="B758" s="19"/>
      <c r="C758" s="19"/>
      <c r="D758" s="22"/>
    </row>
    <row r="759" spans="1:4" x14ac:dyDescent="0.3">
      <c r="A759" s="18"/>
      <c r="B759" s="19"/>
      <c r="C759" s="19"/>
      <c r="D759" s="22"/>
    </row>
    <row r="760" spans="1:4" x14ac:dyDescent="0.3">
      <c r="A760" s="18"/>
      <c r="B760" s="19"/>
      <c r="C760" s="19"/>
      <c r="D760" s="22"/>
    </row>
    <row r="761" spans="1:4" x14ac:dyDescent="0.3">
      <c r="A761" s="18"/>
      <c r="B761" s="19"/>
      <c r="C761" s="19"/>
      <c r="D761" s="22"/>
    </row>
    <row r="762" spans="1:4" x14ac:dyDescent="0.3">
      <c r="A762" s="18"/>
      <c r="B762" s="19"/>
      <c r="C762" s="19"/>
      <c r="D762" s="22"/>
    </row>
    <row r="763" spans="1:4" x14ac:dyDescent="0.3">
      <c r="A763" s="18"/>
      <c r="B763" s="19"/>
      <c r="C763" s="19"/>
      <c r="D763" s="22"/>
    </row>
    <row r="764" spans="1:4" x14ac:dyDescent="0.3">
      <c r="A764" s="18"/>
      <c r="B764" s="19"/>
      <c r="C764" s="19"/>
      <c r="D764" s="22"/>
    </row>
    <row r="765" spans="1:4" x14ac:dyDescent="0.3">
      <c r="A765" s="18"/>
      <c r="B765" s="19"/>
      <c r="C765" s="19"/>
      <c r="D765" s="22"/>
    </row>
    <row r="766" spans="1:4" x14ac:dyDescent="0.3">
      <c r="A766" s="18"/>
      <c r="B766" s="19"/>
      <c r="C766" s="19"/>
      <c r="D766" s="22"/>
    </row>
    <row r="767" spans="1:4" x14ac:dyDescent="0.3">
      <c r="A767" s="18"/>
      <c r="B767" s="19"/>
      <c r="C767" s="19"/>
      <c r="D767" s="22"/>
    </row>
    <row r="768" spans="1:4" x14ac:dyDescent="0.3">
      <c r="A768" s="18"/>
      <c r="B768" s="19"/>
      <c r="C768" s="19"/>
      <c r="D768" s="22"/>
    </row>
    <row r="769" spans="1:4" x14ac:dyDescent="0.3">
      <c r="A769" s="18"/>
      <c r="B769" s="19"/>
      <c r="C769" s="19"/>
      <c r="D769" s="22"/>
    </row>
    <row r="770" spans="1:4" x14ac:dyDescent="0.3">
      <c r="A770" s="18"/>
      <c r="B770" s="19"/>
      <c r="C770" s="19"/>
      <c r="D770" s="22"/>
    </row>
    <row r="771" spans="1:4" x14ac:dyDescent="0.3">
      <c r="A771" s="18"/>
      <c r="B771" s="19"/>
      <c r="C771" s="19"/>
      <c r="D771" s="22"/>
    </row>
    <row r="772" spans="1:4" x14ac:dyDescent="0.3">
      <c r="A772" s="18"/>
      <c r="B772" s="19"/>
      <c r="C772" s="19"/>
      <c r="D772" s="22"/>
    </row>
    <row r="773" spans="1:4" x14ac:dyDescent="0.3">
      <c r="A773" s="18"/>
      <c r="B773" s="19"/>
      <c r="C773" s="19"/>
      <c r="D773" s="22"/>
    </row>
    <row r="774" spans="1:4" x14ac:dyDescent="0.3">
      <c r="A774" s="18"/>
      <c r="B774" s="19"/>
      <c r="C774" s="19"/>
      <c r="D774" s="22"/>
    </row>
    <row r="775" spans="1:4" x14ac:dyDescent="0.3">
      <c r="A775" s="18"/>
      <c r="B775" s="19"/>
      <c r="C775" s="19"/>
      <c r="D775" s="22"/>
    </row>
    <row r="776" spans="1:4" x14ac:dyDescent="0.3">
      <c r="A776" s="18"/>
      <c r="B776" s="19"/>
      <c r="C776" s="19"/>
      <c r="D776" s="22"/>
    </row>
    <row r="777" spans="1:4" x14ac:dyDescent="0.3">
      <c r="A777" s="18"/>
      <c r="B777" s="19"/>
      <c r="C777" s="19"/>
      <c r="D777" s="22"/>
    </row>
    <row r="778" spans="1:4" x14ac:dyDescent="0.3">
      <c r="A778" s="18"/>
      <c r="B778" s="19"/>
      <c r="C778" s="19"/>
      <c r="D778" s="22"/>
    </row>
    <row r="779" spans="1:4" x14ac:dyDescent="0.3">
      <c r="A779" s="18"/>
      <c r="B779" s="19"/>
      <c r="C779" s="19"/>
      <c r="D779" s="22"/>
    </row>
    <row r="780" spans="1:4" x14ac:dyDescent="0.3">
      <c r="A780" s="18"/>
      <c r="B780" s="19"/>
      <c r="C780" s="19"/>
      <c r="D780" s="22"/>
    </row>
    <row r="781" spans="1:4" x14ac:dyDescent="0.3">
      <c r="A781" s="18"/>
      <c r="B781" s="19"/>
      <c r="C781" s="19"/>
      <c r="D781" s="22"/>
    </row>
    <row r="782" spans="1:4" x14ac:dyDescent="0.3">
      <c r="A782" s="18"/>
      <c r="B782" s="19"/>
      <c r="C782" s="19"/>
      <c r="D782" s="22"/>
    </row>
    <row r="783" spans="1:4" x14ac:dyDescent="0.3">
      <c r="A783" s="18"/>
      <c r="B783" s="19"/>
      <c r="C783" s="19"/>
      <c r="D783" s="22"/>
    </row>
    <row r="784" spans="1:4" x14ac:dyDescent="0.3">
      <c r="A784" s="18"/>
      <c r="B784" s="19"/>
      <c r="C784" s="19"/>
      <c r="D784" s="22"/>
    </row>
    <row r="785" spans="1:4" x14ac:dyDescent="0.3">
      <c r="A785" s="18"/>
      <c r="B785" s="19"/>
      <c r="C785" s="19"/>
      <c r="D785" s="22"/>
    </row>
    <row r="786" spans="1:4" x14ac:dyDescent="0.3">
      <c r="A786" s="18"/>
      <c r="B786" s="19"/>
      <c r="C786" s="19"/>
      <c r="D786" s="22"/>
    </row>
    <row r="787" spans="1:4" x14ac:dyDescent="0.3">
      <c r="A787" s="18"/>
      <c r="B787" s="19"/>
      <c r="C787" s="19"/>
      <c r="D787" s="22"/>
    </row>
    <row r="788" spans="1:4" x14ac:dyDescent="0.3">
      <c r="A788" s="18"/>
      <c r="B788" s="19"/>
      <c r="C788" s="19"/>
      <c r="D788" s="22"/>
    </row>
    <row r="789" spans="1:4" x14ac:dyDescent="0.3">
      <c r="A789" s="18"/>
      <c r="B789" s="19"/>
      <c r="C789" s="19"/>
      <c r="D789" s="22"/>
    </row>
    <row r="790" spans="1:4" x14ac:dyDescent="0.3">
      <c r="A790" s="18"/>
      <c r="B790" s="19"/>
      <c r="C790" s="19"/>
      <c r="D790" s="22"/>
    </row>
    <row r="791" spans="1:4" x14ac:dyDescent="0.3">
      <c r="A791" s="18"/>
      <c r="B791" s="19"/>
      <c r="C791" s="19"/>
      <c r="D791" s="22"/>
    </row>
    <row r="792" spans="1:4" x14ac:dyDescent="0.3">
      <c r="A792" s="18"/>
      <c r="B792" s="19"/>
      <c r="C792" s="19"/>
      <c r="D792" s="22"/>
    </row>
    <row r="793" spans="1:4" x14ac:dyDescent="0.3">
      <c r="A793" s="18"/>
      <c r="B793" s="19"/>
      <c r="C793" s="19"/>
      <c r="D793" s="22"/>
    </row>
    <row r="794" spans="1:4" x14ac:dyDescent="0.3">
      <c r="A794" s="18"/>
      <c r="B794" s="19"/>
      <c r="C794" s="19"/>
      <c r="D794" s="22"/>
    </row>
    <row r="795" spans="1:4" x14ac:dyDescent="0.3">
      <c r="A795" s="18"/>
      <c r="B795" s="19"/>
      <c r="C795" s="19"/>
      <c r="D795" s="22"/>
    </row>
    <row r="796" spans="1:4" x14ac:dyDescent="0.3">
      <c r="A796" s="18"/>
      <c r="B796" s="19"/>
      <c r="C796" s="19"/>
      <c r="D796" s="22"/>
    </row>
    <row r="797" spans="1:4" x14ac:dyDescent="0.3">
      <c r="A797" s="18"/>
      <c r="B797" s="19"/>
      <c r="C797" s="19"/>
      <c r="D797" s="22"/>
    </row>
    <row r="798" spans="1:4" x14ac:dyDescent="0.3">
      <c r="A798" s="18"/>
      <c r="B798" s="19"/>
      <c r="C798" s="19"/>
      <c r="D798" s="22"/>
    </row>
    <row r="799" spans="1:4" x14ac:dyDescent="0.3">
      <c r="A799" s="18"/>
      <c r="B799" s="19"/>
      <c r="C799" s="19"/>
      <c r="D799" s="22"/>
    </row>
    <row r="800" spans="1:4" x14ac:dyDescent="0.3">
      <c r="A800" s="18"/>
      <c r="B800" s="19"/>
      <c r="C800" s="19"/>
      <c r="D800" s="22"/>
    </row>
    <row r="801" spans="1:4" x14ac:dyDescent="0.3">
      <c r="A801" s="18"/>
      <c r="B801" s="19"/>
      <c r="C801" s="19"/>
      <c r="D801" s="22"/>
    </row>
    <row r="802" spans="1:4" x14ac:dyDescent="0.3">
      <c r="A802" s="18"/>
      <c r="B802" s="19"/>
      <c r="C802" s="19"/>
      <c r="D802" s="22"/>
    </row>
    <row r="803" spans="1:4" x14ac:dyDescent="0.3">
      <c r="A803" s="18"/>
      <c r="B803" s="19"/>
      <c r="C803" s="19"/>
      <c r="D803" s="22"/>
    </row>
    <row r="804" spans="1:4" x14ac:dyDescent="0.3">
      <c r="A804" s="18"/>
      <c r="B804" s="19"/>
      <c r="C804" s="19"/>
      <c r="D804" s="22"/>
    </row>
    <row r="805" spans="1:4" x14ac:dyDescent="0.3">
      <c r="A805" s="18"/>
      <c r="B805" s="19"/>
      <c r="C805" s="19"/>
      <c r="D805" s="22"/>
    </row>
    <row r="806" spans="1:4" x14ac:dyDescent="0.3">
      <c r="A806" s="18"/>
      <c r="B806" s="19"/>
      <c r="C806" s="19"/>
      <c r="D806" s="22"/>
    </row>
    <row r="807" spans="1:4" x14ac:dyDescent="0.3">
      <c r="A807" s="18"/>
      <c r="B807" s="19"/>
      <c r="C807" s="19"/>
      <c r="D807" s="22"/>
    </row>
    <row r="808" spans="1:4" x14ac:dyDescent="0.3">
      <c r="A808" s="18"/>
      <c r="B808" s="19"/>
      <c r="C808" s="19"/>
      <c r="D808" s="22"/>
    </row>
    <row r="809" spans="1:4" x14ac:dyDescent="0.3">
      <c r="A809" s="18"/>
      <c r="B809" s="19"/>
      <c r="C809" s="19"/>
      <c r="D809" s="22"/>
    </row>
    <row r="810" spans="1:4" x14ac:dyDescent="0.3">
      <c r="A810" s="18"/>
      <c r="B810" s="19"/>
      <c r="C810" s="19"/>
      <c r="D810" s="22"/>
    </row>
    <row r="811" spans="1:4" x14ac:dyDescent="0.3">
      <c r="A811" s="18"/>
      <c r="B811" s="19"/>
      <c r="C811" s="19"/>
      <c r="D811" s="22"/>
    </row>
    <row r="812" spans="1:4" x14ac:dyDescent="0.3">
      <c r="A812" s="18"/>
      <c r="B812" s="19"/>
      <c r="C812" s="19"/>
      <c r="D812" s="22"/>
    </row>
    <row r="813" spans="1:4" x14ac:dyDescent="0.3">
      <c r="A813" s="18"/>
      <c r="B813" s="19"/>
      <c r="C813" s="19"/>
      <c r="D813" s="22"/>
    </row>
    <row r="814" spans="1:4" x14ac:dyDescent="0.3">
      <c r="A814" s="18"/>
      <c r="B814" s="19"/>
      <c r="C814" s="19"/>
      <c r="D814" s="22"/>
    </row>
    <row r="815" spans="1:4" x14ac:dyDescent="0.3">
      <c r="A815" s="18"/>
      <c r="B815" s="19"/>
      <c r="C815" s="19"/>
      <c r="D815" s="22"/>
    </row>
    <row r="816" spans="1:4" x14ac:dyDescent="0.3">
      <c r="A816" s="18"/>
      <c r="B816" s="19"/>
      <c r="C816" s="19"/>
      <c r="D816" s="22"/>
    </row>
    <row r="817" spans="1:4" x14ac:dyDescent="0.3">
      <c r="A817" s="18"/>
      <c r="B817" s="19"/>
      <c r="C817" s="19"/>
      <c r="D817" s="22"/>
    </row>
    <row r="818" spans="1:4" x14ac:dyDescent="0.3">
      <c r="A818" s="18"/>
      <c r="B818" s="19"/>
      <c r="C818" s="19"/>
      <c r="D818" s="22"/>
    </row>
    <row r="819" spans="1:4" x14ac:dyDescent="0.3">
      <c r="A819" s="18"/>
      <c r="B819" s="19"/>
      <c r="C819" s="19"/>
      <c r="D819" s="22"/>
    </row>
    <row r="820" spans="1:4" x14ac:dyDescent="0.3">
      <c r="A820" s="18"/>
      <c r="B820" s="19"/>
      <c r="C820" s="19"/>
      <c r="D820" s="22"/>
    </row>
    <row r="821" spans="1:4" x14ac:dyDescent="0.3">
      <c r="A821" s="18"/>
      <c r="B821" s="19"/>
      <c r="C821" s="19"/>
      <c r="D821" s="22"/>
    </row>
    <row r="822" spans="1:4" x14ac:dyDescent="0.3">
      <c r="A822" s="18"/>
      <c r="B822" s="19"/>
      <c r="C822" s="19"/>
      <c r="D822" s="22"/>
    </row>
    <row r="823" spans="1:4" x14ac:dyDescent="0.3">
      <c r="A823" s="18"/>
      <c r="B823" s="19"/>
      <c r="C823" s="19"/>
      <c r="D823" s="22"/>
    </row>
    <row r="824" spans="1:4" x14ac:dyDescent="0.3">
      <c r="A824" s="18"/>
      <c r="B824" s="19"/>
      <c r="C824" s="19"/>
      <c r="D824" s="22"/>
    </row>
    <row r="825" spans="1:4" x14ac:dyDescent="0.3">
      <c r="A825" s="18"/>
      <c r="B825" s="19"/>
      <c r="C825" s="19"/>
      <c r="D825" s="22"/>
    </row>
    <row r="826" spans="1:4" x14ac:dyDescent="0.3">
      <c r="A826" s="18"/>
      <c r="B826" s="19"/>
      <c r="C826" s="19"/>
      <c r="D826" s="22"/>
    </row>
    <row r="827" spans="1:4" x14ac:dyDescent="0.3">
      <c r="A827" s="18"/>
      <c r="B827" s="19"/>
      <c r="C827" s="19"/>
      <c r="D827" s="22"/>
    </row>
    <row r="828" spans="1:4" x14ac:dyDescent="0.3">
      <c r="A828" s="18"/>
      <c r="B828" s="19"/>
      <c r="C828" s="19"/>
      <c r="D828" s="22"/>
    </row>
    <row r="829" spans="1:4" x14ac:dyDescent="0.3">
      <c r="A829" s="18"/>
      <c r="B829" s="19"/>
      <c r="C829" s="19"/>
      <c r="D829" s="22"/>
    </row>
    <row r="830" spans="1:4" x14ac:dyDescent="0.3">
      <c r="A830" s="18"/>
      <c r="B830" s="19"/>
      <c r="C830" s="19"/>
      <c r="D830" s="22"/>
    </row>
    <row r="831" spans="1:4" x14ac:dyDescent="0.3">
      <c r="A831" s="18"/>
      <c r="B831" s="19"/>
      <c r="C831" s="19"/>
      <c r="D831" s="22"/>
    </row>
    <row r="832" spans="1:4" x14ac:dyDescent="0.3">
      <c r="A832" s="18"/>
      <c r="B832" s="19"/>
      <c r="C832" s="19"/>
      <c r="D832" s="22"/>
    </row>
    <row r="833" spans="1:4" x14ac:dyDescent="0.3">
      <c r="A833" s="18"/>
      <c r="B833" s="19"/>
      <c r="C833" s="19"/>
      <c r="D833" s="22"/>
    </row>
    <row r="834" spans="1:4" x14ac:dyDescent="0.3">
      <c r="A834" s="18"/>
      <c r="B834" s="19"/>
      <c r="C834" s="19"/>
      <c r="D834" s="22"/>
    </row>
    <row r="835" spans="1:4" x14ac:dyDescent="0.3">
      <c r="A835" s="18"/>
      <c r="B835" s="19"/>
      <c r="C835" s="19"/>
      <c r="D835" s="22"/>
    </row>
    <row r="836" spans="1:4" x14ac:dyDescent="0.3">
      <c r="A836" s="18"/>
      <c r="B836" s="19"/>
      <c r="C836" s="19"/>
      <c r="D836" s="22"/>
    </row>
    <row r="837" spans="1:4" x14ac:dyDescent="0.3">
      <c r="A837" s="18"/>
      <c r="B837" s="19"/>
      <c r="C837" s="19"/>
      <c r="D837" s="22"/>
    </row>
    <row r="838" spans="1:4" x14ac:dyDescent="0.3">
      <c r="A838" s="18"/>
      <c r="B838" s="19"/>
      <c r="C838" s="19"/>
      <c r="D838" s="22"/>
    </row>
    <row r="839" spans="1:4" x14ac:dyDescent="0.3">
      <c r="A839" s="18"/>
      <c r="B839" s="19"/>
      <c r="C839" s="19"/>
      <c r="D839" s="22"/>
    </row>
    <row r="840" spans="1:4" x14ac:dyDescent="0.3">
      <c r="A840" s="18"/>
      <c r="B840" s="19"/>
      <c r="C840" s="19"/>
      <c r="D840" s="22"/>
    </row>
    <row r="841" spans="1:4" x14ac:dyDescent="0.3">
      <c r="A841" s="18"/>
      <c r="B841" s="19"/>
      <c r="C841" s="19"/>
      <c r="D841" s="22"/>
    </row>
    <row r="842" spans="1:4" x14ac:dyDescent="0.3">
      <c r="A842" s="18"/>
      <c r="B842" s="19"/>
      <c r="C842" s="19"/>
      <c r="D842" s="22"/>
    </row>
    <row r="843" spans="1:4" x14ac:dyDescent="0.3">
      <c r="A843" s="18"/>
      <c r="B843" s="19"/>
      <c r="C843" s="19"/>
      <c r="D843" s="22"/>
    </row>
    <row r="844" spans="1:4" x14ac:dyDescent="0.3">
      <c r="A844" s="18"/>
      <c r="B844" s="19"/>
      <c r="C844" s="19"/>
      <c r="D844" s="22"/>
    </row>
    <row r="845" spans="1:4" x14ac:dyDescent="0.3">
      <c r="A845" s="18"/>
      <c r="B845" s="19"/>
      <c r="C845" s="19"/>
      <c r="D845" s="22"/>
    </row>
    <row r="846" spans="1:4" x14ac:dyDescent="0.3">
      <c r="A846" s="18"/>
      <c r="B846" s="19"/>
      <c r="C846" s="19"/>
      <c r="D846" s="22"/>
    </row>
    <row r="847" spans="1:4" x14ac:dyDescent="0.3">
      <c r="A847" s="18"/>
      <c r="B847" s="19"/>
      <c r="C847" s="19"/>
      <c r="D847" s="22"/>
    </row>
    <row r="848" spans="1:4" x14ac:dyDescent="0.3">
      <c r="A848" s="18"/>
      <c r="B848" s="19"/>
      <c r="C848" s="19"/>
      <c r="D848" s="22"/>
    </row>
    <row r="849" spans="1:4" x14ac:dyDescent="0.3">
      <c r="A849" s="18"/>
      <c r="B849" s="19"/>
      <c r="C849" s="19"/>
      <c r="D849" s="22"/>
    </row>
    <row r="850" spans="1:4" x14ac:dyDescent="0.3">
      <c r="A850" s="18"/>
      <c r="B850" s="19"/>
      <c r="C850" s="19"/>
      <c r="D850" s="22"/>
    </row>
    <row r="851" spans="1:4" x14ac:dyDescent="0.3">
      <c r="A851" s="18"/>
      <c r="B851" s="19"/>
      <c r="C851" s="19"/>
      <c r="D851" s="22"/>
    </row>
    <row r="852" spans="1:4" x14ac:dyDescent="0.3">
      <c r="A852" s="18"/>
      <c r="B852" s="19"/>
      <c r="C852" s="19"/>
      <c r="D852" s="22"/>
    </row>
    <row r="853" spans="1:4" x14ac:dyDescent="0.3">
      <c r="A853" s="18"/>
      <c r="B853" s="19"/>
      <c r="C853" s="19"/>
      <c r="D853" s="22"/>
    </row>
    <row r="854" spans="1:4" x14ac:dyDescent="0.3">
      <c r="A854" s="18"/>
      <c r="B854" s="19"/>
      <c r="C854" s="19"/>
      <c r="D854" s="22"/>
    </row>
    <row r="855" spans="1:4" x14ac:dyDescent="0.3">
      <c r="A855" s="18"/>
      <c r="B855" s="19"/>
      <c r="C855" s="19"/>
      <c r="D855" s="22"/>
    </row>
    <row r="856" spans="1:4" x14ac:dyDescent="0.3">
      <c r="A856" s="18"/>
      <c r="B856" s="19"/>
      <c r="C856" s="19"/>
      <c r="D856" s="22"/>
    </row>
    <row r="857" spans="1:4" x14ac:dyDescent="0.3">
      <c r="A857" s="18"/>
      <c r="B857" s="19"/>
      <c r="C857" s="19"/>
      <c r="D857" s="22"/>
    </row>
    <row r="858" spans="1:4" x14ac:dyDescent="0.3">
      <c r="A858" s="18"/>
      <c r="B858" s="19"/>
      <c r="C858" s="19"/>
      <c r="D858" s="22"/>
    </row>
    <row r="859" spans="1:4" x14ac:dyDescent="0.3">
      <c r="A859" s="18"/>
      <c r="B859" s="19"/>
      <c r="C859" s="19"/>
      <c r="D859" s="22"/>
    </row>
    <row r="860" spans="1:4" x14ac:dyDescent="0.3">
      <c r="A860" s="18"/>
      <c r="B860" s="19"/>
      <c r="C860" s="19"/>
      <c r="D860" s="22"/>
    </row>
    <row r="861" spans="1:4" x14ac:dyDescent="0.3">
      <c r="A861" s="18"/>
      <c r="B861" s="19"/>
      <c r="C861" s="19"/>
      <c r="D861" s="22"/>
    </row>
    <row r="862" spans="1:4" x14ac:dyDescent="0.3">
      <c r="A862" s="18"/>
      <c r="B862" s="19"/>
      <c r="C862" s="19"/>
      <c r="D862" s="22"/>
    </row>
    <row r="863" spans="1:4" x14ac:dyDescent="0.3">
      <c r="A863" s="18"/>
      <c r="B863" s="19"/>
      <c r="C863" s="19"/>
      <c r="D863" s="22"/>
    </row>
    <row r="864" spans="1:4" x14ac:dyDescent="0.3">
      <c r="A864" s="18"/>
      <c r="B864" s="19"/>
      <c r="C864" s="19"/>
      <c r="D864" s="22"/>
    </row>
    <row r="865" spans="1:4" x14ac:dyDescent="0.3">
      <c r="A865" s="18"/>
      <c r="B865" s="19"/>
      <c r="C865" s="19"/>
      <c r="D865" s="22"/>
    </row>
    <row r="866" spans="1:4" x14ac:dyDescent="0.3">
      <c r="A866" s="18"/>
      <c r="B866" s="19"/>
      <c r="C866" s="19"/>
      <c r="D866" s="22"/>
    </row>
    <row r="867" spans="1:4" x14ac:dyDescent="0.3">
      <c r="A867" s="18"/>
      <c r="B867" s="19"/>
      <c r="C867" s="19"/>
      <c r="D867" s="22"/>
    </row>
    <row r="868" spans="1:4" x14ac:dyDescent="0.3">
      <c r="A868" s="18"/>
      <c r="B868" s="19"/>
      <c r="C868" s="19"/>
      <c r="D868" s="22"/>
    </row>
    <row r="869" spans="1:4" x14ac:dyDescent="0.3">
      <c r="A869" s="18"/>
      <c r="B869" s="19"/>
      <c r="C869" s="19"/>
      <c r="D869" s="22"/>
    </row>
    <row r="870" spans="1:4" x14ac:dyDescent="0.3">
      <c r="A870" s="18"/>
      <c r="B870" s="19"/>
      <c r="C870" s="19"/>
      <c r="D870" s="22"/>
    </row>
    <row r="871" spans="1:4" x14ac:dyDescent="0.3">
      <c r="A871" s="18"/>
      <c r="B871" s="19"/>
      <c r="C871" s="19"/>
      <c r="D871" s="22"/>
    </row>
    <row r="872" spans="1:4" x14ac:dyDescent="0.3">
      <c r="A872" s="18"/>
      <c r="B872" s="19"/>
      <c r="C872" s="19"/>
      <c r="D872" s="22"/>
    </row>
    <row r="873" spans="1:4" x14ac:dyDescent="0.3">
      <c r="A873" s="18"/>
      <c r="B873" s="19"/>
      <c r="C873" s="19"/>
      <c r="D873" s="22"/>
    </row>
    <row r="874" spans="1:4" x14ac:dyDescent="0.3">
      <c r="A874" s="18"/>
      <c r="B874" s="19"/>
      <c r="C874" s="19"/>
      <c r="D874" s="22"/>
    </row>
    <row r="875" spans="1:4" x14ac:dyDescent="0.3">
      <c r="A875" s="18"/>
      <c r="B875" s="19"/>
      <c r="C875" s="19"/>
      <c r="D875" s="22"/>
    </row>
    <row r="876" spans="1:4" x14ac:dyDescent="0.3">
      <c r="A876" s="18"/>
      <c r="B876" s="19"/>
      <c r="C876" s="19"/>
      <c r="D876" s="22"/>
    </row>
    <row r="877" spans="1:4" x14ac:dyDescent="0.3">
      <c r="A877" s="18"/>
      <c r="B877" s="19"/>
      <c r="C877" s="19"/>
      <c r="D877" s="22"/>
    </row>
    <row r="878" spans="1:4" x14ac:dyDescent="0.3">
      <c r="A878" s="18"/>
      <c r="B878" s="19"/>
      <c r="C878" s="19"/>
      <c r="D878" s="22"/>
    </row>
    <row r="879" spans="1:4" x14ac:dyDescent="0.3">
      <c r="A879" s="18"/>
      <c r="B879" s="19"/>
      <c r="C879" s="19"/>
      <c r="D879" s="22"/>
    </row>
    <row r="880" spans="1:4" x14ac:dyDescent="0.3">
      <c r="A880" s="18"/>
      <c r="B880" s="19"/>
      <c r="C880" s="19"/>
      <c r="D880" s="22"/>
    </row>
    <row r="881" spans="1:4" x14ac:dyDescent="0.3">
      <c r="A881" s="18"/>
      <c r="B881" s="19"/>
      <c r="C881" s="19"/>
      <c r="D881" s="22"/>
    </row>
    <row r="882" spans="1:4" x14ac:dyDescent="0.3">
      <c r="A882" s="18"/>
      <c r="B882" s="19"/>
      <c r="C882" s="19"/>
      <c r="D882" s="22"/>
    </row>
    <row r="883" spans="1:4" x14ac:dyDescent="0.3">
      <c r="A883" s="18"/>
      <c r="B883" s="19"/>
      <c r="C883" s="19"/>
      <c r="D883" s="22"/>
    </row>
    <row r="884" spans="1:4" x14ac:dyDescent="0.3">
      <c r="A884" s="18"/>
      <c r="B884" s="19"/>
      <c r="C884" s="19"/>
      <c r="D884" s="22"/>
    </row>
    <row r="885" spans="1:4" x14ac:dyDescent="0.3">
      <c r="A885" s="18"/>
      <c r="B885" s="19"/>
      <c r="C885" s="19"/>
      <c r="D885" s="22"/>
    </row>
    <row r="886" spans="1:4" x14ac:dyDescent="0.3">
      <c r="A886" s="18"/>
      <c r="B886" s="19"/>
      <c r="C886" s="19"/>
      <c r="D886" s="22"/>
    </row>
    <row r="887" spans="1:4" x14ac:dyDescent="0.3">
      <c r="A887" s="18"/>
      <c r="B887" s="19"/>
      <c r="C887" s="19"/>
      <c r="D887" s="22"/>
    </row>
    <row r="888" spans="1:4" x14ac:dyDescent="0.3">
      <c r="A888" s="18"/>
      <c r="B888" s="19"/>
      <c r="C888" s="19"/>
      <c r="D888" s="22"/>
    </row>
    <row r="889" spans="1:4" x14ac:dyDescent="0.3">
      <c r="A889" s="18"/>
      <c r="B889" s="19"/>
      <c r="C889" s="19"/>
      <c r="D889" s="22"/>
    </row>
    <row r="890" spans="1:4" x14ac:dyDescent="0.3">
      <c r="A890" s="18"/>
      <c r="B890" s="19"/>
      <c r="C890" s="19"/>
      <c r="D890" s="22"/>
    </row>
    <row r="891" spans="1:4" x14ac:dyDescent="0.3">
      <c r="A891" s="18"/>
      <c r="B891" s="19"/>
      <c r="C891" s="19"/>
      <c r="D891" s="22"/>
    </row>
    <row r="892" spans="1:4" x14ac:dyDescent="0.3">
      <c r="A892" s="18"/>
      <c r="B892" s="19"/>
      <c r="C892" s="19"/>
      <c r="D892" s="22"/>
    </row>
    <row r="893" spans="1:4" x14ac:dyDescent="0.3">
      <c r="A893" s="18"/>
      <c r="B893" s="19"/>
      <c r="C893" s="19"/>
      <c r="D893" s="22"/>
    </row>
    <row r="894" spans="1:4" x14ac:dyDescent="0.3">
      <c r="A894" s="18"/>
      <c r="B894" s="19"/>
      <c r="C894" s="19"/>
      <c r="D894" s="22"/>
    </row>
    <row r="895" spans="1:4" x14ac:dyDescent="0.3">
      <c r="A895" s="18"/>
      <c r="B895" s="19"/>
      <c r="C895" s="19"/>
      <c r="D895" s="22"/>
    </row>
    <row r="896" spans="1:4" x14ac:dyDescent="0.3">
      <c r="A896" s="18"/>
      <c r="B896" s="19"/>
      <c r="C896" s="19"/>
      <c r="D896" s="22"/>
    </row>
    <row r="897" spans="1:4" x14ac:dyDescent="0.3">
      <c r="A897" s="18"/>
      <c r="B897" s="19"/>
      <c r="C897" s="19"/>
      <c r="D897" s="22"/>
    </row>
    <row r="898" spans="1:4" x14ac:dyDescent="0.3">
      <c r="A898" s="18"/>
      <c r="B898" s="19"/>
      <c r="C898" s="19"/>
      <c r="D898" s="22"/>
    </row>
    <row r="899" spans="1:4" x14ac:dyDescent="0.3">
      <c r="A899" s="18"/>
      <c r="B899" s="19"/>
      <c r="C899" s="19"/>
      <c r="D899" s="22"/>
    </row>
    <row r="900" spans="1:4" x14ac:dyDescent="0.3">
      <c r="A900" s="18"/>
      <c r="B900" s="19"/>
      <c r="C900" s="19"/>
      <c r="D900" s="22"/>
    </row>
    <row r="901" spans="1:4" x14ac:dyDescent="0.3">
      <c r="A901" s="18"/>
      <c r="B901" s="19"/>
      <c r="C901" s="19"/>
      <c r="D901" s="22"/>
    </row>
    <row r="902" spans="1:4" x14ac:dyDescent="0.3">
      <c r="A902" s="18"/>
      <c r="B902" s="19"/>
      <c r="C902" s="19"/>
      <c r="D902" s="22"/>
    </row>
    <row r="903" spans="1:4" x14ac:dyDescent="0.3">
      <c r="A903" s="18"/>
      <c r="B903" s="19"/>
      <c r="C903" s="19"/>
      <c r="D903" s="22"/>
    </row>
    <row r="904" spans="1:4" x14ac:dyDescent="0.3">
      <c r="A904" s="18"/>
      <c r="B904" s="19"/>
      <c r="C904" s="19"/>
      <c r="D904" s="22"/>
    </row>
    <row r="905" spans="1:4" x14ac:dyDescent="0.3">
      <c r="A905" s="18"/>
      <c r="B905" s="19"/>
      <c r="C905" s="19"/>
      <c r="D905" s="22"/>
    </row>
    <row r="906" spans="1:4" x14ac:dyDescent="0.3">
      <c r="A906" s="18"/>
      <c r="B906" s="19"/>
      <c r="C906" s="19"/>
      <c r="D906" s="22"/>
    </row>
    <row r="907" spans="1:4" x14ac:dyDescent="0.3">
      <c r="A907" s="18"/>
      <c r="B907" s="19"/>
      <c r="C907" s="19"/>
      <c r="D907" s="22"/>
    </row>
    <row r="908" spans="1:4" x14ac:dyDescent="0.3">
      <c r="A908" s="18"/>
      <c r="B908" s="19"/>
      <c r="C908" s="19"/>
      <c r="D908" s="22"/>
    </row>
    <row r="909" spans="1:4" x14ac:dyDescent="0.3">
      <c r="A909" s="18"/>
      <c r="B909" s="19"/>
      <c r="C909" s="19"/>
      <c r="D909" s="22"/>
    </row>
    <row r="910" spans="1:4" x14ac:dyDescent="0.3">
      <c r="A910" s="18"/>
      <c r="B910" s="19"/>
      <c r="C910" s="19"/>
      <c r="D910" s="22"/>
    </row>
    <row r="911" spans="1:4" x14ac:dyDescent="0.3">
      <c r="A911" s="18"/>
      <c r="B911" s="19"/>
      <c r="C911" s="19"/>
      <c r="D911" s="22"/>
    </row>
    <row r="912" spans="1:4" x14ac:dyDescent="0.3">
      <c r="A912" s="18"/>
      <c r="B912" s="19"/>
      <c r="C912" s="19"/>
      <c r="D912" s="22"/>
    </row>
    <row r="913" spans="1:4" x14ac:dyDescent="0.3">
      <c r="A913" s="18"/>
      <c r="B913" s="19"/>
      <c r="C913" s="19"/>
      <c r="D913" s="22"/>
    </row>
    <row r="914" spans="1:4" x14ac:dyDescent="0.3">
      <c r="A914" s="18"/>
      <c r="B914" s="19"/>
      <c r="C914" s="19"/>
      <c r="D914" s="22"/>
    </row>
    <row r="915" spans="1:4" x14ac:dyDescent="0.3">
      <c r="A915" s="18"/>
      <c r="B915" s="19"/>
      <c r="C915" s="19"/>
      <c r="D915" s="22"/>
    </row>
    <row r="916" spans="1:4" x14ac:dyDescent="0.3">
      <c r="A916" s="18"/>
      <c r="B916" s="19"/>
      <c r="C916" s="19"/>
      <c r="D916" s="22"/>
    </row>
    <row r="917" spans="1:4" x14ac:dyDescent="0.3">
      <c r="A917" s="18"/>
      <c r="B917" s="19"/>
      <c r="C917" s="19"/>
      <c r="D917" s="22"/>
    </row>
    <row r="918" spans="1:4" x14ac:dyDescent="0.3">
      <c r="A918" s="18"/>
      <c r="B918" s="19"/>
      <c r="C918" s="19"/>
      <c r="D918" s="22"/>
    </row>
    <row r="919" spans="1:4" x14ac:dyDescent="0.3">
      <c r="A919" s="18"/>
      <c r="B919" s="19"/>
      <c r="C919" s="19"/>
      <c r="D919" s="22"/>
    </row>
    <row r="920" spans="1:4" x14ac:dyDescent="0.3">
      <c r="A920" s="18"/>
      <c r="B920" s="19"/>
      <c r="C920" s="19"/>
      <c r="D920" s="22"/>
    </row>
    <row r="921" spans="1:4" x14ac:dyDescent="0.3">
      <c r="A921" s="18"/>
      <c r="B921" s="19"/>
      <c r="C921" s="19"/>
      <c r="D921" s="22"/>
    </row>
    <row r="922" spans="1:4" x14ac:dyDescent="0.3">
      <c r="A922" s="18"/>
      <c r="B922" s="19"/>
      <c r="C922" s="19"/>
      <c r="D922" s="22"/>
    </row>
    <row r="923" spans="1:4" x14ac:dyDescent="0.3">
      <c r="A923" s="18"/>
      <c r="B923" s="19"/>
      <c r="C923" s="19"/>
      <c r="D923" s="22"/>
    </row>
    <row r="924" spans="1:4" x14ac:dyDescent="0.3">
      <c r="A924" s="18"/>
      <c r="B924" s="19"/>
      <c r="C924" s="19"/>
      <c r="D924" s="22"/>
    </row>
    <row r="925" spans="1:4" x14ac:dyDescent="0.3">
      <c r="A925" s="18"/>
      <c r="B925" s="19"/>
      <c r="C925" s="19"/>
      <c r="D925" s="22"/>
    </row>
    <row r="926" spans="1:4" x14ac:dyDescent="0.3">
      <c r="A926" s="18"/>
      <c r="B926" s="19"/>
      <c r="C926" s="19"/>
      <c r="D926" s="22"/>
    </row>
    <row r="927" spans="1:4" x14ac:dyDescent="0.3">
      <c r="A927" s="18"/>
      <c r="B927" s="19"/>
      <c r="C927" s="19"/>
      <c r="D927" s="22"/>
    </row>
    <row r="928" spans="1:4" x14ac:dyDescent="0.3">
      <c r="A928" s="18"/>
      <c r="B928" s="19"/>
      <c r="C928" s="19"/>
      <c r="D928" s="22"/>
    </row>
    <row r="929" spans="1:4" x14ac:dyDescent="0.3">
      <c r="A929" s="18"/>
      <c r="B929" s="19"/>
      <c r="C929" s="19"/>
      <c r="D929" s="22"/>
    </row>
    <row r="930" spans="1:4" x14ac:dyDescent="0.3">
      <c r="A930" s="18"/>
      <c r="B930" s="19"/>
      <c r="C930" s="19"/>
      <c r="D930" s="22"/>
    </row>
    <row r="931" spans="1:4" x14ac:dyDescent="0.3">
      <c r="A931" s="18"/>
      <c r="B931" s="19"/>
      <c r="C931" s="19"/>
      <c r="D931" s="22"/>
    </row>
    <row r="932" spans="1:4" x14ac:dyDescent="0.3">
      <c r="A932" s="18"/>
      <c r="B932" s="19"/>
      <c r="C932" s="19"/>
      <c r="D932" s="22"/>
    </row>
    <row r="933" spans="1:4" x14ac:dyDescent="0.3">
      <c r="A933" s="18"/>
      <c r="B933" s="19"/>
      <c r="C933" s="19"/>
      <c r="D933" s="22"/>
    </row>
    <row r="934" spans="1:4" x14ac:dyDescent="0.3">
      <c r="A934" s="18"/>
      <c r="B934" s="19"/>
      <c r="C934" s="19"/>
      <c r="D934" s="22"/>
    </row>
    <row r="935" spans="1:4" x14ac:dyDescent="0.3">
      <c r="A935" s="18"/>
      <c r="B935" s="19"/>
      <c r="C935" s="19"/>
      <c r="D935" s="22"/>
    </row>
    <row r="936" spans="1:4" x14ac:dyDescent="0.3">
      <c r="A936" s="18"/>
      <c r="B936" s="19"/>
      <c r="C936" s="19"/>
      <c r="D936" s="22"/>
    </row>
    <row r="937" spans="1:4" x14ac:dyDescent="0.3">
      <c r="A937" s="18"/>
      <c r="B937" s="19"/>
      <c r="C937" s="19"/>
      <c r="D937" s="22"/>
    </row>
    <row r="938" spans="1:4" x14ac:dyDescent="0.3">
      <c r="A938" s="18"/>
      <c r="B938" s="19"/>
      <c r="C938" s="19"/>
      <c r="D938" s="22"/>
    </row>
    <row r="939" spans="1:4" x14ac:dyDescent="0.3">
      <c r="A939" s="18"/>
      <c r="B939" s="19"/>
      <c r="C939" s="19"/>
      <c r="D939" s="22"/>
    </row>
    <row r="940" spans="1:4" x14ac:dyDescent="0.3">
      <c r="A940" s="18"/>
      <c r="B940" s="19"/>
      <c r="C940" s="19"/>
      <c r="D940" s="22"/>
    </row>
    <row r="941" spans="1:4" x14ac:dyDescent="0.3">
      <c r="A941" s="18"/>
      <c r="B941" s="19"/>
      <c r="C941" s="19"/>
      <c r="D941" s="22"/>
    </row>
    <row r="942" spans="1:4" x14ac:dyDescent="0.3">
      <c r="A942" s="18"/>
      <c r="B942" s="19"/>
      <c r="C942" s="19"/>
      <c r="D942" s="22"/>
    </row>
    <row r="943" spans="1:4" x14ac:dyDescent="0.3">
      <c r="A943" s="18"/>
      <c r="B943" s="19"/>
      <c r="C943" s="19"/>
      <c r="D943" s="22"/>
    </row>
    <row r="944" spans="1:4" x14ac:dyDescent="0.3">
      <c r="A944" s="18"/>
      <c r="B944" s="19"/>
      <c r="C944" s="19"/>
      <c r="D944" s="22"/>
    </row>
    <row r="945" spans="1:4" x14ac:dyDescent="0.3">
      <c r="A945" s="18"/>
      <c r="B945" s="19"/>
      <c r="C945" s="19"/>
      <c r="D945" s="22"/>
    </row>
    <row r="946" spans="1:4" x14ac:dyDescent="0.3">
      <c r="A946" s="18"/>
      <c r="B946" s="19"/>
      <c r="C946" s="19"/>
      <c r="D946" s="22"/>
    </row>
    <row r="947" spans="1:4" x14ac:dyDescent="0.3">
      <c r="A947" s="18"/>
      <c r="B947" s="19"/>
      <c r="C947" s="19"/>
      <c r="D947" s="22"/>
    </row>
    <row r="948" spans="1:4" x14ac:dyDescent="0.3">
      <c r="A948" s="18"/>
      <c r="B948" s="19"/>
      <c r="C948" s="19"/>
      <c r="D948" s="22"/>
    </row>
    <row r="949" spans="1:4" x14ac:dyDescent="0.3">
      <c r="A949" s="18"/>
      <c r="B949" s="19"/>
      <c r="C949" s="19"/>
      <c r="D949" s="22"/>
    </row>
    <row r="950" spans="1:4" x14ac:dyDescent="0.3">
      <c r="A950" s="18"/>
      <c r="B950" s="19"/>
      <c r="C950" s="19"/>
      <c r="D950" s="22"/>
    </row>
    <row r="951" spans="1:4" x14ac:dyDescent="0.3">
      <c r="A951" s="18"/>
      <c r="B951" s="19"/>
      <c r="C951" s="19"/>
      <c r="D951" s="22"/>
    </row>
    <row r="952" spans="1:4" x14ac:dyDescent="0.3">
      <c r="A952" s="18"/>
      <c r="B952" s="19"/>
      <c r="C952" s="19"/>
      <c r="D952" s="22"/>
    </row>
    <row r="953" spans="1:4" x14ac:dyDescent="0.3">
      <c r="A953" s="18"/>
      <c r="B953" s="19"/>
      <c r="C953" s="19"/>
      <c r="D953" s="22"/>
    </row>
    <row r="954" spans="1:4" x14ac:dyDescent="0.3">
      <c r="A954" s="18"/>
      <c r="B954" s="19"/>
      <c r="C954" s="19"/>
      <c r="D954" s="22"/>
    </row>
    <row r="955" spans="1:4" x14ac:dyDescent="0.3">
      <c r="A955" s="18"/>
      <c r="B955" s="19"/>
      <c r="C955" s="19"/>
      <c r="D955" s="22"/>
    </row>
    <row r="956" spans="1:4" x14ac:dyDescent="0.3">
      <c r="A956" s="18"/>
      <c r="B956" s="19"/>
      <c r="C956" s="19"/>
      <c r="D956" s="22"/>
    </row>
    <row r="957" spans="1:4" x14ac:dyDescent="0.3">
      <c r="A957" s="18"/>
      <c r="B957" s="19"/>
      <c r="C957" s="19"/>
      <c r="D957" s="22"/>
    </row>
    <row r="958" spans="1:4" x14ac:dyDescent="0.3">
      <c r="A958" s="18"/>
      <c r="B958" s="19"/>
      <c r="C958" s="19"/>
      <c r="D958" s="22"/>
    </row>
    <row r="959" spans="1:4" x14ac:dyDescent="0.3">
      <c r="A959" s="18"/>
      <c r="B959" s="19"/>
      <c r="C959" s="19"/>
      <c r="D959" s="22"/>
    </row>
    <row r="960" spans="1:4" x14ac:dyDescent="0.3">
      <c r="A960" s="18"/>
      <c r="B960" s="19"/>
      <c r="C960" s="19"/>
      <c r="D960" s="22"/>
    </row>
    <row r="961" spans="1:4" x14ac:dyDescent="0.3">
      <c r="A961" s="18"/>
      <c r="B961" s="19"/>
      <c r="C961" s="19"/>
      <c r="D961" s="22"/>
    </row>
    <row r="962" spans="1:4" x14ac:dyDescent="0.3">
      <c r="A962" s="18"/>
      <c r="B962" s="19"/>
      <c r="C962" s="19"/>
      <c r="D962" s="22"/>
    </row>
    <row r="963" spans="1:4" x14ac:dyDescent="0.3">
      <c r="A963" s="18"/>
      <c r="B963" s="19"/>
      <c r="C963" s="19"/>
      <c r="D963" s="22"/>
    </row>
    <row r="964" spans="1:4" x14ac:dyDescent="0.3">
      <c r="A964" s="18"/>
      <c r="B964" s="19"/>
      <c r="C964" s="19"/>
      <c r="D964" s="22"/>
    </row>
    <row r="965" spans="1:4" x14ac:dyDescent="0.3">
      <c r="A965" s="18"/>
      <c r="B965" s="19"/>
      <c r="C965" s="19"/>
      <c r="D965" s="22"/>
    </row>
    <row r="966" spans="1:4" x14ac:dyDescent="0.3">
      <c r="A966" s="18"/>
      <c r="B966" s="19"/>
      <c r="C966" s="19"/>
      <c r="D966" s="22"/>
    </row>
    <row r="967" spans="1:4" x14ac:dyDescent="0.3">
      <c r="A967" s="18"/>
      <c r="B967" s="19"/>
      <c r="C967" s="19"/>
      <c r="D967" s="22"/>
    </row>
    <row r="968" spans="1:4" x14ac:dyDescent="0.3">
      <c r="A968" s="18"/>
      <c r="B968" s="19"/>
      <c r="C968" s="19"/>
      <c r="D968" s="22"/>
    </row>
    <row r="969" spans="1:4" x14ac:dyDescent="0.3">
      <c r="A969" s="18"/>
      <c r="B969" s="19"/>
      <c r="C969" s="19"/>
      <c r="D969" s="22"/>
    </row>
    <row r="970" spans="1:4" x14ac:dyDescent="0.3">
      <c r="A970" s="18"/>
      <c r="B970" s="19"/>
      <c r="C970" s="19"/>
      <c r="D970" s="22"/>
    </row>
    <row r="971" spans="1:4" x14ac:dyDescent="0.3">
      <c r="A971" s="18"/>
      <c r="B971" s="19"/>
      <c r="C971" s="19"/>
      <c r="D971" s="22"/>
    </row>
    <row r="972" spans="1:4" x14ac:dyDescent="0.3">
      <c r="A972" s="18"/>
      <c r="B972" s="19"/>
      <c r="C972" s="19"/>
      <c r="D972" s="22"/>
    </row>
    <row r="973" spans="1:4" x14ac:dyDescent="0.3">
      <c r="A973" s="18"/>
      <c r="B973" s="19"/>
      <c r="C973" s="19"/>
      <c r="D973" s="22"/>
    </row>
    <row r="974" spans="1:4" x14ac:dyDescent="0.3">
      <c r="A974" s="18"/>
      <c r="B974" s="19"/>
      <c r="C974" s="19"/>
      <c r="D974" s="22"/>
    </row>
    <row r="975" spans="1:4" x14ac:dyDescent="0.3">
      <c r="A975" s="18"/>
      <c r="B975" s="19"/>
      <c r="C975" s="19"/>
      <c r="D975" s="22"/>
    </row>
    <row r="976" spans="1:4" x14ac:dyDescent="0.3">
      <c r="A976" s="18"/>
      <c r="B976" s="19"/>
      <c r="C976" s="19"/>
      <c r="D976" s="22"/>
    </row>
    <row r="977" spans="1:4" x14ac:dyDescent="0.3">
      <c r="A977" s="18"/>
      <c r="B977" s="19"/>
      <c r="C977" s="19"/>
      <c r="D977" s="22"/>
    </row>
    <row r="978" spans="1:4" x14ac:dyDescent="0.3">
      <c r="A978" s="18"/>
      <c r="B978" s="19"/>
      <c r="C978" s="19"/>
      <c r="D978" s="22"/>
    </row>
    <row r="979" spans="1:4" x14ac:dyDescent="0.3">
      <c r="A979" s="18"/>
      <c r="B979" s="19"/>
      <c r="C979" s="19"/>
      <c r="D979" s="22"/>
    </row>
    <row r="980" spans="1:4" x14ac:dyDescent="0.3">
      <c r="A980" s="18"/>
      <c r="B980" s="19"/>
      <c r="C980" s="19"/>
      <c r="D980" s="22"/>
    </row>
    <row r="981" spans="1:4" x14ac:dyDescent="0.3">
      <c r="A981" s="18"/>
      <c r="B981" s="19"/>
      <c r="C981" s="19"/>
      <c r="D981" s="22"/>
    </row>
    <row r="982" spans="1:4" x14ac:dyDescent="0.3">
      <c r="A982" s="18"/>
      <c r="B982" s="19"/>
      <c r="C982" s="19"/>
      <c r="D982" s="22"/>
    </row>
    <row r="983" spans="1:4" x14ac:dyDescent="0.3">
      <c r="A983" s="18"/>
      <c r="B983" s="19"/>
      <c r="C983" s="19"/>
      <c r="D983" s="22"/>
    </row>
    <row r="984" spans="1:4" x14ac:dyDescent="0.3">
      <c r="A984" s="18"/>
      <c r="B984" s="19"/>
      <c r="C984" s="19"/>
      <c r="D984" s="22"/>
    </row>
    <row r="985" spans="1:4" x14ac:dyDescent="0.3">
      <c r="A985" s="18"/>
      <c r="B985" s="19"/>
      <c r="C985" s="19"/>
      <c r="D985" s="22"/>
    </row>
    <row r="986" spans="1:4" x14ac:dyDescent="0.3">
      <c r="A986" s="18"/>
      <c r="B986" s="19"/>
      <c r="C986" s="19"/>
      <c r="D986" s="22"/>
    </row>
    <row r="987" spans="1:4" x14ac:dyDescent="0.3">
      <c r="A987" s="18"/>
      <c r="B987" s="19"/>
      <c r="C987" s="19"/>
      <c r="D987" s="22"/>
    </row>
    <row r="988" spans="1:4" x14ac:dyDescent="0.3">
      <c r="A988" s="18"/>
      <c r="B988" s="19"/>
      <c r="C988" s="19"/>
      <c r="D988" s="22"/>
    </row>
    <row r="989" spans="1:4" x14ac:dyDescent="0.3">
      <c r="A989" s="18"/>
      <c r="B989" s="19"/>
      <c r="C989" s="19"/>
      <c r="D989" s="22"/>
    </row>
    <row r="990" spans="1:4" x14ac:dyDescent="0.3">
      <c r="A990" s="18"/>
      <c r="B990" s="19"/>
      <c r="C990" s="19"/>
      <c r="D990" s="22"/>
    </row>
    <row r="991" spans="1:4" x14ac:dyDescent="0.3">
      <c r="A991" s="18"/>
      <c r="B991" s="19"/>
      <c r="C991" s="19"/>
      <c r="D991" s="22"/>
    </row>
    <row r="992" spans="1:4" x14ac:dyDescent="0.3">
      <c r="A992" s="18"/>
      <c r="B992" s="19"/>
      <c r="C992" s="19"/>
      <c r="D992" s="22"/>
    </row>
    <row r="993" spans="1:4" x14ac:dyDescent="0.3">
      <c r="A993" s="18"/>
      <c r="B993" s="19"/>
      <c r="C993" s="19"/>
      <c r="D993" s="22"/>
    </row>
    <row r="994" spans="1:4" x14ac:dyDescent="0.3">
      <c r="A994" s="18"/>
      <c r="B994" s="19"/>
      <c r="C994" s="19"/>
      <c r="D994" s="22"/>
    </row>
    <row r="995" spans="1:4" x14ac:dyDescent="0.3">
      <c r="A995" s="18"/>
      <c r="B995" s="19"/>
      <c r="C995" s="19"/>
      <c r="D995" s="22"/>
    </row>
    <row r="996" spans="1:4" x14ac:dyDescent="0.3">
      <c r="A996" s="18"/>
      <c r="B996" s="19"/>
      <c r="C996" s="19"/>
      <c r="D996" s="22"/>
    </row>
    <row r="997" spans="1:4" x14ac:dyDescent="0.3">
      <c r="A997" s="18"/>
      <c r="B997" s="19"/>
      <c r="C997" s="19"/>
      <c r="D997" s="22"/>
    </row>
    <row r="998" spans="1:4" x14ac:dyDescent="0.3">
      <c r="A998" s="18"/>
      <c r="B998" s="19"/>
      <c r="C998" s="19"/>
      <c r="D998" s="22"/>
    </row>
    <row r="999" spans="1:4" x14ac:dyDescent="0.3">
      <c r="A999" s="18"/>
      <c r="B999" s="19"/>
      <c r="C999" s="19"/>
      <c r="D999" s="22"/>
    </row>
    <row r="1000" spans="1:4" x14ac:dyDescent="0.3">
      <c r="A1000" s="18"/>
      <c r="B1000" s="19"/>
      <c r="C1000" s="19"/>
      <c r="D1000" s="22"/>
    </row>
    <row r="1001" spans="1:4" x14ac:dyDescent="0.3">
      <c r="A1001" s="18"/>
      <c r="B1001" s="19"/>
      <c r="C1001" s="19"/>
      <c r="D1001" s="22"/>
    </row>
    <row r="1002" spans="1:4" x14ac:dyDescent="0.3">
      <c r="A1002" s="18"/>
      <c r="B1002" s="19"/>
      <c r="C1002" s="19"/>
      <c r="D1002" s="22"/>
    </row>
    <row r="1003" spans="1:4" x14ac:dyDescent="0.3">
      <c r="A1003" s="18"/>
      <c r="B1003" s="19"/>
      <c r="C1003" s="19"/>
      <c r="D1003" s="22"/>
    </row>
    <row r="1004" spans="1:4" x14ac:dyDescent="0.3">
      <c r="A1004" s="18"/>
      <c r="B1004" s="19"/>
      <c r="C1004" s="19"/>
      <c r="D1004" s="22"/>
    </row>
    <row r="1005" spans="1:4" x14ac:dyDescent="0.3">
      <c r="A1005" s="18"/>
      <c r="B1005" s="19"/>
      <c r="C1005" s="19"/>
      <c r="D1005" s="22"/>
    </row>
    <row r="1006" spans="1:4" x14ac:dyDescent="0.3">
      <c r="A1006" s="18"/>
      <c r="B1006" s="19"/>
      <c r="C1006" s="19"/>
      <c r="D1006" s="22"/>
    </row>
    <row r="1007" spans="1:4" x14ac:dyDescent="0.3">
      <c r="A1007" s="18"/>
      <c r="B1007" s="19"/>
      <c r="C1007" s="19"/>
      <c r="D1007" s="22"/>
    </row>
    <row r="1008" spans="1:4" x14ac:dyDescent="0.3">
      <c r="A1008" s="18"/>
      <c r="B1008" s="19"/>
      <c r="C1008" s="19"/>
      <c r="D1008" s="22"/>
    </row>
    <row r="1009" spans="1:4" x14ac:dyDescent="0.3">
      <c r="A1009" s="18"/>
      <c r="B1009" s="19"/>
      <c r="C1009" s="19"/>
      <c r="D1009" s="22"/>
    </row>
    <row r="1010" spans="1:4" x14ac:dyDescent="0.3">
      <c r="A1010" s="18"/>
      <c r="B1010" s="19"/>
      <c r="C1010" s="19"/>
      <c r="D1010" s="22"/>
    </row>
    <row r="1011" spans="1:4" x14ac:dyDescent="0.3">
      <c r="A1011" s="18"/>
      <c r="B1011" s="19"/>
      <c r="C1011" s="19"/>
      <c r="D1011" s="22"/>
    </row>
    <row r="1012" spans="1:4" x14ac:dyDescent="0.3">
      <c r="A1012" s="18"/>
      <c r="B1012" s="19"/>
      <c r="C1012" s="19"/>
      <c r="D1012" s="22"/>
    </row>
    <row r="1013" spans="1:4" x14ac:dyDescent="0.3">
      <c r="A1013" s="18"/>
      <c r="B1013" s="19"/>
      <c r="C1013" s="19"/>
      <c r="D1013" s="22"/>
    </row>
    <row r="1014" spans="1:4" x14ac:dyDescent="0.3">
      <c r="A1014" s="18"/>
      <c r="B1014" s="19"/>
      <c r="C1014" s="19"/>
      <c r="D1014" s="22"/>
    </row>
    <row r="1015" spans="1:4" x14ac:dyDescent="0.3">
      <c r="A1015" s="18"/>
      <c r="B1015" s="19"/>
      <c r="C1015" s="19"/>
      <c r="D1015" s="22"/>
    </row>
    <row r="1016" spans="1:4" x14ac:dyDescent="0.3">
      <c r="A1016" s="18"/>
      <c r="B1016" s="19"/>
      <c r="C1016" s="19"/>
      <c r="D1016" s="22"/>
    </row>
    <row r="1017" spans="1:4" x14ac:dyDescent="0.3">
      <c r="A1017" s="18"/>
      <c r="B1017" s="19"/>
      <c r="C1017" s="19"/>
      <c r="D1017" s="22"/>
    </row>
    <row r="1018" spans="1:4" x14ac:dyDescent="0.3">
      <c r="A1018" s="18"/>
      <c r="B1018" s="19"/>
      <c r="C1018" s="19"/>
      <c r="D1018" s="22"/>
    </row>
    <row r="1019" spans="1:4" x14ac:dyDescent="0.3">
      <c r="A1019" s="18"/>
      <c r="B1019" s="19"/>
      <c r="C1019" s="19"/>
      <c r="D1019" s="22"/>
    </row>
    <row r="1020" spans="1:4" x14ac:dyDescent="0.3">
      <c r="A1020" s="18"/>
      <c r="B1020" s="19"/>
      <c r="C1020" s="19"/>
      <c r="D1020" s="22"/>
    </row>
    <row r="1021" spans="1:4" x14ac:dyDescent="0.3">
      <c r="A1021" s="18"/>
      <c r="B1021" s="19"/>
      <c r="C1021" s="19"/>
      <c r="D1021" s="22"/>
    </row>
    <row r="1022" spans="1:4" x14ac:dyDescent="0.3">
      <c r="A1022" s="18"/>
      <c r="B1022" s="19"/>
      <c r="C1022" s="19"/>
      <c r="D1022" s="22"/>
    </row>
    <row r="1023" spans="1:4" x14ac:dyDescent="0.3">
      <c r="A1023" s="18"/>
      <c r="B1023" s="19"/>
      <c r="C1023" s="19"/>
      <c r="D1023" s="22"/>
    </row>
    <row r="1024" spans="1:4" x14ac:dyDescent="0.3">
      <c r="A1024" s="18"/>
      <c r="B1024" s="19"/>
      <c r="C1024" s="19"/>
      <c r="D1024" s="22"/>
    </row>
    <row r="1025" spans="1:4" x14ac:dyDescent="0.3">
      <c r="A1025" s="18"/>
      <c r="B1025" s="19"/>
      <c r="C1025" s="19"/>
      <c r="D1025" s="22"/>
    </row>
    <row r="1026" spans="1:4" x14ac:dyDescent="0.3">
      <c r="A1026" s="18"/>
      <c r="B1026" s="19"/>
      <c r="C1026" s="19"/>
      <c r="D1026" s="22"/>
    </row>
    <row r="1027" spans="1:4" x14ac:dyDescent="0.3">
      <c r="A1027" s="18"/>
      <c r="B1027" s="19"/>
      <c r="C1027" s="19"/>
      <c r="D1027" s="22"/>
    </row>
    <row r="1028" spans="1:4" x14ac:dyDescent="0.3">
      <c r="A1028" s="18"/>
      <c r="B1028" s="19"/>
      <c r="C1028" s="19"/>
      <c r="D1028" s="22"/>
    </row>
    <row r="1029" spans="1:4" x14ac:dyDescent="0.3">
      <c r="A1029" s="18"/>
      <c r="B1029" s="19"/>
      <c r="C1029" s="19"/>
      <c r="D1029" s="22"/>
    </row>
    <row r="1030" spans="1:4" x14ac:dyDescent="0.3">
      <c r="A1030" s="18"/>
      <c r="B1030" s="19"/>
      <c r="C1030" s="19"/>
      <c r="D1030" s="22"/>
    </row>
    <row r="1031" spans="1:4" x14ac:dyDescent="0.3">
      <c r="A1031" s="18"/>
      <c r="B1031" s="19"/>
      <c r="C1031" s="19"/>
      <c r="D1031" s="22"/>
    </row>
    <row r="1032" spans="1:4" x14ac:dyDescent="0.3">
      <c r="A1032" s="18"/>
      <c r="B1032" s="19"/>
      <c r="C1032" s="19"/>
      <c r="D1032" s="22"/>
    </row>
    <row r="1033" spans="1:4" x14ac:dyDescent="0.3">
      <c r="A1033" s="18"/>
      <c r="B1033" s="19"/>
      <c r="C1033" s="19"/>
      <c r="D1033" s="22"/>
    </row>
    <row r="1034" spans="1:4" x14ac:dyDescent="0.3">
      <c r="A1034" s="18"/>
      <c r="B1034" s="19"/>
      <c r="C1034" s="19"/>
      <c r="D1034" s="22"/>
    </row>
    <row r="1035" spans="1:4" x14ac:dyDescent="0.3">
      <c r="A1035" s="18"/>
      <c r="B1035" s="19"/>
      <c r="C1035" s="19"/>
      <c r="D1035" s="22"/>
    </row>
    <row r="1036" spans="1:4" x14ac:dyDescent="0.3">
      <c r="A1036" s="18"/>
      <c r="B1036" s="19"/>
      <c r="C1036" s="19"/>
      <c r="D1036" s="22"/>
    </row>
    <row r="1037" spans="1:4" x14ac:dyDescent="0.3">
      <c r="A1037" s="18"/>
      <c r="B1037" s="19"/>
      <c r="C1037" s="19"/>
      <c r="D1037" s="22"/>
    </row>
    <row r="1038" spans="1:4" x14ac:dyDescent="0.3">
      <c r="A1038" s="18"/>
      <c r="B1038" s="19"/>
      <c r="C1038" s="19"/>
      <c r="D1038" s="22"/>
    </row>
    <row r="1039" spans="1:4" x14ac:dyDescent="0.3">
      <c r="A1039" s="18"/>
      <c r="B1039" s="19"/>
      <c r="C1039" s="19"/>
      <c r="D1039" s="22"/>
    </row>
    <row r="1040" spans="1:4" x14ac:dyDescent="0.3">
      <c r="A1040" s="18"/>
      <c r="B1040" s="19"/>
      <c r="C1040" s="19"/>
      <c r="D1040" s="22"/>
    </row>
    <row r="1041" spans="1:4" x14ac:dyDescent="0.3">
      <c r="A1041" s="18"/>
      <c r="B1041" s="19"/>
      <c r="C1041" s="19"/>
      <c r="D1041" s="22"/>
    </row>
    <row r="1042" spans="1:4" x14ac:dyDescent="0.3">
      <c r="A1042" s="18"/>
      <c r="B1042" s="19"/>
      <c r="C1042" s="19"/>
      <c r="D1042" s="22"/>
    </row>
    <row r="1043" spans="1:4" x14ac:dyDescent="0.3">
      <c r="A1043" s="18"/>
      <c r="B1043" s="19"/>
      <c r="C1043" s="19"/>
      <c r="D1043" s="22"/>
    </row>
    <row r="1044" spans="1:4" x14ac:dyDescent="0.3">
      <c r="A1044" s="18"/>
      <c r="B1044" s="19"/>
      <c r="C1044" s="19"/>
      <c r="D1044" s="22"/>
    </row>
    <row r="1045" spans="1:4" x14ac:dyDescent="0.3">
      <c r="A1045" s="18"/>
      <c r="B1045" s="19"/>
      <c r="C1045" s="19"/>
      <c r="D1045" s="22"/>
    </row>
    <row r="1046" spans="1:4" x14ac:dyDescent="0.3">
      <c r="A1046" s="18"/>
      <c r="B1046" s="19"/>
      <c r="C1046" s="19"/>
      <c r="D1046" s="22"/>
    </row>
    <row r="1047" spans="1:4" x14ac:dyDescent="0.3">
      <c r="A1047" s="18"/>
      <c r="B1047" s="19"/>
      <c r="C1047" s="19"/>
      <c r="D1047" s="22"/>
    </row>
    <row r="1048" spans="1:4" x14ac:dyDescent="0.3">
      <c r="A1048" s="18"/>
      <c r="B1048" s="19"/>
      <c r="C1048" s="19"/>
      <c r="D1048" s="22"/>
    </row>
    <row r="1049" spans="1:4" x14ac:dyDescent="0.3">
      <c r="A1049" s="18"/>
      <c r="B1049" s="19"/>
      <c r="C1049" s="19"/>
      <c r="D1049" s="22"/>
    </row>
    <row r="1050" spans="1:4" x14ac:dyDescent="0.3">
      <c r="A1050" s="18"/>
      <c r="B1050" s="19"/>
      <c r="C1050" s="19"/>
      <c r="D1050" s="22"/>
    </row>
    <row r="1051" spans="1:4" x14ac:dyDescent="0.3">
      <c r="A1051" s="18"/>
      <c r="B1051" s="19"/>
      <c r="C1051" s="19"/>
      <c r="D1051" s="22"/>
    </row>
    <row r="1052" spans="1:4" x14ac:dyDescent="0.3">
      <c r="A1052" s="18"/>
      <c r="B1052" s="19"/>
      <c r="C1052" s="19"/>
      <c r="D1052" s="22"/>
    </row>
    <row r="1053" spans="1:4" x14ac:dyDescent="0.3">
      <c r="A1053" s="18"/>
      <c r="B1053" s="19"/>
      <c r="C1053" s="19"/>
      <c r="D1053" s="22"/>
    </row>
    <row r="1054" spans="1:4" x14ac:dyDescent="0.3">
      <c r="A1054" s="18"/>
      <c r="B1054" s="19"/>
      <c r="C1054" s="19"/>
      <c r="D1054" s="22"/>
    </row>
    <row r="1055" spans="1:4" x14ac:dyDescent="0.3">
      <c r="A1055" s="18"/>
      <c r="B1055" s="19"/>
      <c r="C1055" s="19"/>
      <c r="D1055" s="22"/>
    </row>
    <row r="1056" spans="1:4" x14ac:dyDescent="0.3">
      <c r="A1056" s="18"/>
      <c r="B1056" s="19"/>
      <c r="C1056" s="19"/>
      <c r="D1056" s="22"/>
    </row>
    <row r="1057" spans="1:4" x14ac:dyDescent="0.3">
      <c r="A1057" s="18"/>
      <c r="B1057" s="19"/>
      <c r="C1057" s="19"/>
      <c r="D1057" s="22"/>
    </row>
    <row r="1058" spans="1:4" x14ac:dyDescent="0.3">
      <c r="A1058" s="18"/>
      <c r="B1058" s="19"/>
      <c r="C1058" s="19"/>
      <c r="D1058" s="22"/>
    </row>
    <row r="1059" spans="1:4" x14ac:dyDescent="0.3">
      <c r="A1059" s="18"/>
      <c r="B1059" s="19"/>
      <c r="C1059" s="19"/>
      <c r="D1059" s="22"/>
    </row>
    <row r="1060" spans="1:4" x14ac:dyDescent="0.3">
      <c r="A1060" s="18"/>
      <c r="B1060" s="19"/>
      <c r="C1060" s="19"/>
      <c r="D1060" s="22"/>
    </row>
    <row r="1061" spans="1:4" x14ac:dyDescent="0.3">
      <c r="A1061" s="18"/>
      <c r="B1061" s="19"/>
      <c r="C1061" s="19"/>
      <c r="D1061" s="22"/>
    </row>
    <row r="1062" spans="1:4" x14ac:dyDescent="0.3">
      <c r="A1062" s="18"/>
      <c r="B1062" s="19"/>
      <c r="C1062" s="19"/>
      <c r="D1062" s="22"/>
    </row>
    <row r="1063" spans="1:4" x14ac:dyDescent="0.3">
      <c r="A1063" s="18"/>
      <c r="B1063" s="19"/>
      <c r="C1063" s="19"/>
      <c r="D1063" s="22"/>
    </row>
    <row r="1064" spans="1:4" x14ac:dyDescent="0.3">
      <c r="A1064" s="18"/>
      <c r="B1064" s="19"/>
      <c r="C1064" s="19"/>
      <c r="D1064" s="22"/>
    </row>
    <row r="1065" spans="1:4" x14ac:dyDescent="0.3">
      <c r="A1065" s="18"/>
      <c r="B1065" s="19"/>
      <c r="C1065" s="19"/>
      <c r="D1065" s="22"/>
    </row>
    <row r="1066" spans="1:4" x14ac:dyDescent="0.3">
      <c r="A1066" s="18"/>
      <c r="B1066" s="19"/>
      <c r="C1066" s="19"/>
      <c r="D1066" s="22"/>
    </row>
    <row r="1067" spans="1:4" x14ac:dyDescent="0.3">
      <c r="A1067" s="18"/>
      <c r="B1067" s="19"/>
      <c r="C1067" s="19"/>
      <c r="D1067" s="22"/>
    </row>
    <row r="1068" spans="1:4" x14ac:dyDescent="0.3">
      <c r="A1068" s="18"/>
      <c r="B1068" s="19"/>
      <c r="C1068" s="19"/>
      <c r="D1068" s="22"/>
    </row>
    <row r="1069" spans="1:4" x14ac:dyDescent="0.3">
      <c r="A1069" s="18"/>
      <c r="B1069" s="19"/>
      <c r="C1069" s="19"/>
      <c r="D1069" s="22"/>
    </row>
    <row r="1070" spans="1:4" x14ac:dyDescent="0.3">
      <c r="A1070" s="18"/>
      <c r="B1070" s="19"/>
      <c r="C1070" s="19"/>
      <c r="D1070" s="22"/>
    </row>
    <row r="1071" spans="1:4" x14ac:dyDescent="0.3">
      <c r="A1071" s="18"/>
      <c r="B1071" s="19"/>
      <c r="C1071" s="19"/>
      <c r="D1071" s="22"/>
    </row>
    <row r="1072" spans="1:4" x14ac:dyDescent="0.3">
      <c r="A1072" s="18"/>
      <c r="B1072" s="19"/>
      <c r="C1072" s="19"/>
      <c r="D1072" s="22"/>
    </row>
    <row r="1073" spans="1:4" x14ac:dyDescent="0.3">
      <c r="A1073" s="18"/>
      <c r="B1073" s="19"/>
      <c r="C1073" s="19"/>
      <c r="D1073" s="22"/>
    </row>
    <row r="1074" spans="1:4" x14ac:dyDescent="0.3">
      <c r="A1074" s="18"/>
      <c r="B1074" s="19"/>
      <c r="C1074" s="19"/>
      <c r="D1074" s="22"/>
    </row>
    <row r="1075" spans="1:4" x14ac:dyDescent="0.3">
      <c r="A1075" s="18"/>
      <c r="B1075" s="19"/>
      <c r="C1075" s="19"/>
      <c r="D1075" s="22"/>
    </row>
    <row r="1076" spans="1:4" x14ac:dyDescent="0.3">
      <c r="A1076" s="18"/>
      <c r="B1076" s="19"/>
      <c r="C1076" s="19"/>
      <c r="D1076" s="22"/>
    </row>
    <row r="1077" spans="1:4" x14ac:dyDescent="0.3">
      <c r="A1077" s="18"/>
      <c r="B1077" s="19"/>
      <c r="C1077" s="19"/>
      <c r="D1077" s="22"/>
    </row>
    <row r="1078" spans="1:4" x14ac:dyDescent="0.3">
      <c r="A1078" s="18"/>
      <c r="B1078" s="19"/>
      <c r="C1078" s="19"/>
      <c r="D1078" s="22"/>
    </row>
    <row r="1079" spans="1:4" x14ac:dyDescent="0.3">
      <c r="A1079" s="18"/>
      <c r="B1079" s="19"/>
      <c r="C1079" s="19"/>
      <c r="D1079" s="22"/>
    </row>
    <row r="1080" spans="1:4" x14ac:dyDescent="0.3">
      <c r="A1080" s="18"/>
      <c r="B1080" s="19"/>
      <c r="C1080" s="19"/>
      <c r="D1080" s="22"/>
    </row>
    <row r="1081" spans="1:4" x14ac:dyDescent="0.3">
      <c r="A1081" s="18"/>
      <c r="B1081" s="19"/>
      <c r="C1081" s="19"/>
      <c r="D1081" s="22"/>
    </row>
    <row r="1082" spans="1:4" x14ac:dyDescent="0.3">
      <c r="A1082" s="18"/>
      <c r="B1082" s="19"/>
      <c r="C1082" s="19"/>
      <c r="D1082" s="22"/>
    </row>
    <row r="1083" spans="1:4" x14ac:dyDescent="0.3">
      <c r="A1083" s="18"/>
      <c r="B1083" s="19"/>
      <c r="C1083" s="19"/>
      <c r="D1083" s="22"/>
    </row>
    <row r="1084" spans="1:4" x14ac:dyDescent="0.3">
      <c r="A1084" s="18"/>
      <c r="B1084" s="19"/>
      <c r="C1084" s="19"/>
      <c r="D1084" s="22"/>
    </row>
    <row r="1085" spans="1:4" x14ac:dyDescent="0.3">
      <c r="A1085" s="18"/>
      <c r="B1085" s="19"/>
      <c r="C1085" s="19"/>
      <c r="D1085" s="22"/>
    </row>
    <row r="1086" spans="1:4" x14ac:dyDescent="0.3">
      <c r="A1086" s="18"/>
      <c r="B1086" s="19"/>
      <c r="C1086" s="19"/>
      <c r="D1086" s="22"/>
    </row>
    <row r="1087" spans="1:4" x14ac:dyDescent="0.3">
      <c r="A1087" s="18"/>
      <c r="B1087" s="19"/>
      <c r="C1087" s="19"/>
      <c r="D1087" s="22"/>
    </row>
    <row r="1088" spans="1:4" x14ac:dyDescent="0.3">
      <c r="A1088" s="18"/>
      <c r="B1088" s="19"/>
      <c r="C1088" s="19"/>
      <c r="D1088" s="22"/>
    </row>
    <row r="1089" spans="1:4" x14ac:dyDescent="0.3">
      <c r="A1089" s="18"/>
      <c r="B1089" s="19"/>
      <c r="C1089" s="19"/>
      <c r="D1089" s="22"/>
    </row>
    <row r="1090" spans="1:4" x14ac:dyDescent="0.3">
      <c r="A1090" s="18"/>
      <c r="B1090" s="19"/>
      <c r="C1090" s="19"/>
      <c r="D1090" s="22"/>
    </row>
    <row r="1091" spans="1:4" x14ac:dyDescent="0.3">
      <c r="A1091" s="18"/>
      <c r="B1091" s="19"/>
      <c r="C1091" s="19"/>
      <c r="D1091" s="22"/>
    </row>
    <row r="1092" spans="1:4" x14ac:dyDescent="0.3">
      <c r="A1092" s="18"/>
      <c r="B1092" s="19"/>
      <c r="C1092" s="19"/>
      <c r="D1092" s="22"/>
    </row>
    <row r="1093" spans="1:4" x14ac:dyDescent="0.3">
      <c r="A1093" s="18"/>
      <c r="B1093" s="19"/>
      <c r="C1093" s="19"/>
      <c r="D1093" s="22"/>
    </row>
    <row r="1094" spans="1:4" x14ac:dyDescent="0.3">
      <c r="A1094" s="18"/>
      <c r="B1094" s="19"/>
      <c r="C1094" s="19"/>
      <c r="D1094" s="22"/>
    </row>
    <row r="1095" spans="1:4" x14ac:dyDescent="0.3">
      <c r="A1095" s="18"/>
      <c r="B1095" s="19"/>
      <c r="C1095" s="19"/>
      <c r="D1095" s="22"/>
    </row>
    <row r="1096" spans="1:4" x14ac:dyDescent="0.3">
      <c r="A1096" s="18"/>
      <c r="B1096" s="19"/>
      <c r="C1096" s="19"/>
      <c r="D1096" s="22"/>
    </row>
    <row r="1097" spans="1:4" x14ac:dyDescent="0.3">
      <c r="A1097" s="18"/>
      <c r="B1097" s="19"/>
      <c r="C1097" s="19"/>
      <c r="D1097" s="22"/>
    </row>
    <row r="1098" spans="1:4" x14ac:dyDescent="0.3">
      <c r="A1098" s="18"/>
      <c r="B1098" s="19"/>
      <c r="C1098" s="19"/>
      <c r="D1098" s="22"/>
    </row>
    <row r="1099" spans="1:4" x14ac:dyDescent="0.3">
      <c r="A1099" s="18"/>
      <c r="B1099" s="19"/>
      <c r="C1099" s="19"/>
      <c r="D1099" s="22"/>
    </row>
    <row r="1100" spans="1:4" x14ac:dyDescent="0.3">
      <c r="A1100" s="18"/>
      <c r="B1100" s="19"/>
      <c r="C1100" s="19"/>
      <c r="D1100" s="22"/>
    </row>
    <row r="1101" spans="1:4" x14ac:dyDescent="0.3">
      <c r="A1101" s="18"/>
      <c r="B1101" s="19"/>
      <c r="C1101" s="19"/>
      <c r="D1101" s="22"/>
    </row>
    <row r="1102" spans="1:4" x14ac:dyDescent="0.3">
      <c r="A1102" s="18"/>
      <c r="B1102" s="19"/>
      <c r="C1102" s="19"/>
      <c r="D1102" s="22"/>
    </row>
    <row r="1103" spans="1:4" x14ac:dyDescent="0.3">
      <c r="A1103" s="18"/>
      <c r="B1103" s="19"/>
      <c r="C1103" s="19"/>
      <c r="D1103" s="22"/>
    </row>
    <row r="1104" spans="1:4" x14ac:dyDescent="0.3">
      <c r="A1104" s="18"/>
      <c r="B1104" s="19"/>
      <c r="C1104" s="19"/>
      <c r="D1104" s="22"/>
    </row>
    <row r="1105" spans="1:4" x14ac:dyDescent="0.3">
      <c r="A1105" s="18"/>
      <c r="B1105" s="19"/>
      <c r="C1105" s="19"/>
      <c r="D1105" s="22"/>
    </row>
    <row r="1106" spans="1:4" x14ac:dyDescent="0.3">
      <c r="A1106" s="18"/>
      <c r="B1106" s="19"/>
      <c r="C1106" s="19"/>
      <c r="D1106" s="22"/>
    </row>
    <row r="1107" spans="1:4" x14ac:dyDescent="0.3">
      <c r="A1107" s="18"/>
      <c r="B1107" s="19"/>
      <c r="C1107" s="19"/>
      <c r="D1107" s="22"/>
    </row>
    <row r="1108" spans="1:4" x14ac:dyDescent="0.3">
      <c r="A1108" s="18"/>
      <c r="B1108" s="19"/>
      <c r="C1108" s="19"/>
      <c r="D1108" s="22"/>
    </row>
    <row r="1109" spans="1:4" x14ac:dyDescent="0.3">
      <c r="A1109" s="18"/>
      <c r="B1109" s="19"/>
      <c r="C1109" s="19"/>
      <c r="D1109" s="22"/>
    </row>
    <row r="1110" spans="1:4" x14ac:dyDescent="0.3">
      <c r="A1110" s="18"/>
      <c r="B1110" s="19"/>
      <c r="C1110" s="19"/>
      <c r="D1110" s="22"/>
    </row>
    <row r="1111" spans="1:4" x14ac:dyDescent="0.3">
      <c r="A1111" s="18"/>
      <c r="B1111" s="19"/>
      <c r="C1111" s="19"/>
      <c r="D1111" s="22"/>
    </row>
    <row r="1112" spans="1:4" x14ac:dyDescent="0.3">
      <c r="A1112" s="18"/>
      <c r="B1112" s="19"/>
      <c r="C1112" s="19"/>
      <c r="D1112" s="22"/>
    </row>
    <row r="1113" spans="1:4" x14ac:dyDescent="0.3">
      <c r="A1113" s="18"/>
      <c r="B1113" s="19"/>
      <c r="C1113" s="19"/>
      <c r="D1113" s="22"/>
    </row>
    <row r="1114" spans="1:4" x14ac:dyDescent="0.3">
      <c r="A1114" s="18"/>
      <c r="B1114" s="19"/>
      <c r="C1114" s="19"/>
      <c r="D1114" s="22"/>
    </row>
    <row r="1115" spans="1:4" x14ac:dyDescent="0.3">
      <c r="A1115" s="18"/>
      <c r="B1115" s="19"/>
      <c r="C1115" s="19"/>
      <c r="D1115" s="22"/>
    </row>
    <row r="1116" spans="1:4" x14ac:dyDescent="0.3">
      <c r="A1116" s="18"/>
      <c r="B1116" s="19"/>
      <c r="C1116" s="19"/>
      <c r="D1116" s="22"/>
    </row>
    <row r="1117" spans="1:4" x14ac:dyDescent="0.3">
      <c r="A1117" s="18"/>
      <c r="B1117" s="19"/>
      <c r="C1117" s="19"/>
      <c r="D1117" s="22"/>
    </row>
    <row r="1118" spans="1:4" x14ac:dyDescent="0.3">
      <c r="A1118" s="18"/>
      <c r="B1118" s="19"/>
      <c r="C1118" s="19"/>
      <c r="D1118" s="22"/>
    </row>
    <row r="1119" spans="1:4" x14ac:dyDescent="0.3">
      <c r="A1119" s="18"/>
      <c r="B1119" s="19"/>
      <c r="C1119" s="19"/>
      <c r="D1119" s="22"/>
    </row>
    <row r="1120" spans="1:4" x14ac:dyDescent="0.3">
      <c r="A1120" s="18"/>
      <c r="B1120" s="19"/>
      <c r="C1120" s="19"/>
      <c r="D1120" s="22"/>
    </row>
    <row r="1121" spans="1:4" x14ac:dyDescent="0.3">
      <c r="A1121" s="18"/>
      <c r="B1121" s="19"/>
      <c r="C1121" s="19"/>
      <c r="D1121" s="22"/>
    </row>
    <row r="1122" spans="1:4" x14ac:dyDescent="0.3">
      <c r="A1122" s="18"/>
      <c r="B1122" s="19"/>
      <c r="C1122" s="19"/>
      <c r="D1122" s="22"/>
    </row>
    <row r="1123" spans="1:4" x14ac:dyDescent="0.3">
      <c r="A1123" s="18"/>
      <c r="B1123" s="19"/>
      <c r="C1123" s="19"/>
      <c r="D1123" s="22"/>
    </row>
    <row r="1124" spans="1:4" x14ac:dyDescent="0.3">
      <c r="A1124" s="18"/>
      <c r="B1124" s="19"/>
      <c r="C1124" s="19"/>
      <c r="D1124" s="22"/>
    </row>
    <row r="1125" spans="1:4" x14ac:dyDescent="0.3">
      <c r="A1125" s="18"/>
      <c r="B1125" s="19"/>
      <c r="C1125" s="19"/>
      <c r="D1125" s="22"/>
    </row>
    <row r="1126" spans="1:4" x14ac:dyDescent="0.3">
      <c r="A1126" s="18"/>
      <c r="B1126" s="19"/>
      <c r="C1126" s="19"/>
      <c r="D1126" s="22"/>
    </row>
    <row r="1127" spans="1:4" x14ac:dyDescent="0.3">
      <c r="A1127" s="18"/>
      <c r="B1127" s="19"/>
      <c r="C1127" s="19"/>
      <c r="D1127" s="22"/>
    </row>
    <row r="1128" spans="1:4" x14ac:dyDescent="0.3">
      <c r="A1128" s="18"/>
      <c r="B1128" s="19"/>
      <c r="C1128" s="19"/>
      <c r="D1128" s="22"/>
    </row>
    <row r="1129" spans="1:4" x14ac:dyDescent="0.3">
      <c r="A1129" s="18"/>
      <c r="B1129" s="19"/>
      <c r="C1129" s="19"/>
      <c r="D1129" s="22"/>
    </row>
    <row r="1130" spans="1:4" x14ac:dyDescent="0.3">
      <c r="A1130" s="18"/>
      <c r="B1130" s="19"/>
      <c r="C1130" s="19"/>
      <c r="D1130" s="22"/>
    </row>
    <row r="1131" spans="1:4" x14ac:dyDescent="0.3">
      <c r="A1131" s="18"/>
      <c r="B1131" s="19"/>
      <c r="C1131" s="19"/>
      <c r="D1131" s="22"/>
    </row>
    <row r="1132" spans="1:4" x14ac:dyDescent="0.3">
      <c r="A1132" s="18"/>
      <c r="B1132" s="19"/>
      <c r="C1132" s="19"/>
      <c r="D1132" s="22"/>
    </row>
    <row r="1133" spans="1:4" x14ac:dyDescent="0.3">
      <c r="A1133" s="18"/>
      <c r="B1133" s="19"/>
      <c r="C1133" s="19"/>
      <c r="D1133" s="22"/>
    </row>
    <row r="1134" spans="1:4" x14ac:dyDescent="0.3">
      <c r="A1134" s="18"/>
      <c r="B1134" s="19"/>
      <c r="C1134" s="19"/>
      <c r="D1134" s="22"/>
    </row>
    <row r="1135" spans="1:4" x14ac:dyDescent="0.3">
      <c r="A1135" s="18"/>
      <c r="B1135" s="19"/>
      <c r="C1135" s="19"/>
      <c r="D1135" s="22"/>
    </row>
    <row r="1136" spans="1:4" x14ac:dyDescent="0.3">
      <c r="A1136" s="18"/>
      <c r="B1136" s="19"/>
      <c r="C1136" s="19"/>
      <c r="D1136" s="22"/>
    </row>
    <row r="1137" spans="1:4" x14ac:dyDescent="0.3">
      <c r="A1137" s="18"/>
      <c r="B1137" s="19"/>
      <c r="C1137" s="19"/>
      <c r="D1137" s="22"/>
    </row>
    <row r="1138" spans="1:4" x14ac:dyDescent="0.3">
      <c r="A1138" s="18"/>
      <c r="B1138" s="19"/>
      <c r="C1138" s="19"/>
      <c r="D1138" s="22"/>
    </row>
    <row r="1139" spans="1:4" x14ac:dyDescent="0.3">
      <c r="A1139" s="18"/>
      <c r="B1139" s="19"/>
      <c r="C1139" s="19"/>
      <c r="D1139" s="22"/>
    </row>
    <row r="1140" spans="1:4" x14ac:dyDescent="0.3">
      <c r="A1140" s="18"/>
      <c r="B1140" s="19"/>
      <c r="C1140" s="19"/>
      <c r="D1140" s="22"/>
    </row>
    <row r="1141" spans="1:4" x14ac:dyDescent="0.3">
      <c r="A1141" s="18"/>
      <c r="B1141" s="19"/>
      <c r="C1141" s="19"/>
      <c r="D1141" s="22"/>
    </row>
    <row r="1142" spans="1:4" x14ac:dyDescent="0.3">
      <c r="A1142" s="18"/>
      <c r="B1142" s="19"/>
      <c r="C1142" s="19"/>
      <c r="D1142" s="22"/>
    </row>
    <row r="1143" spans="1:4" x14ac:dyDescent="0.3">
      <c r="A1143" s="18"/>
      <c r="B1143" s="19"/>
      <c r="C1143" s="19"/>
      <c r="D1143" s="22"/>
    </row>
    <row r="1144" spans="1:4" x14ac:dyDescent="0.3">
      <c r="A1144" s="18"/>
      <c r="B1144" s="19"/>
      <c r="C1144" s="19"/>
      <c r="D1144" s="22"/>
    </row>
    <row r="1145" spans="1:4" x14ac:dyDescent="0.3">
      <c r="A1145" s="18"/>
      <c r="B1145" s="19"/>
      <c r="C1145" s="19"/>
      <c r="D1145" s="22"/>
    </row>
    <row r="1146" spans="1:4" x14ac:dyDescent="0.3">
      <c r="A1146" s="18"/>
      <c r="B1146" s="19"/>
      <c r="C1146" s="19"/>
      <c r="D1146" s="22"/>
    </row>
    <row r="1147" spans="1:4" x14ac:dyDescent="0.3">
      <c r="A1147" s="18"/>
      <c r="B1147" s="19"/>
      <c r="C1147" s="19"/>
      <c r="D1147" s="22"/>
    </row>
    <row r="1148" spans="1:4" x14ac:dyDescent="0.3">
      <c r="A1148" s="18"/>
      <c r="B1148" s="19"/>
      <c r="C1148" s="19"/>
      <c r="D1148" s="22"/>
    </row>
    <row r="1149" spans="1:4" x14ac:dyDescent="0.3">
      <c r="A1149" s="18"/>
      <c r="B1149" s="19"/>
      <c r="C1149" s="19"/>
      <c r="D1149" s="22"/>
    </row>
    <row r="1150" spans="1:4" x14ac:dyDescent="0.3">
      <c r="A1150" s="18"/>
      <c r="B1150" s="19"/>
      <c r="C1150" s="19"/>
      <c r="D1150" s="22"/>
    </row>
    <row r="1151" spans="1:4" x14ac:dyDescent="0.3">
      <c r="A1151" s="18"/>
      <c r="B1151" s="19"/>
      <c r="C1151" s="19"/>
      <c r="D1151" s="22"/>
    </row>
    <row r="1152" spans="1:4" x14ac:dyDescent="0.3">
      <c r="A1152" s="18"/>
      <c r="B1152" s="19"/>
      <c r="C1152" s="19"/>
      <c r="D1152" s="22"/>
    </row>
    <row r="1153" spans="1:4" x14ac:dyDescent="0.3">
      <c r="A1153" s="18"/>
      <c r="B1153" s="19"/>
      <c r="C1153" s="19"/>
      <c r="D1153" s="22"/>
    </row>
    <row r="1154" spans="1:4" x14ac:dyDescent="0.3">
      <c r="A1154" s="18"/>
      <c r="B1154" s="19"/>
      <c r="C1154" s="19"/>
      <c r="D1154" s="22"/>
    </row>
    <row r="1155" spans="1:4" x14ac:dyDescent="0.3">
      <c r="A1155" s="18"/>
      <c r="B1155" s="19"/>
      <c r="C1155" s="19"/>
      <c r="D1155" s="22"/>
    </row>
    <row r="1156" spans="1:4" x14ac:dyDescent="0.3">
      <c r="A1156" s="18"/>
      <c r="B1156" s="19"/>
      <c r="C1156" s="19"/>
      <c r="D1156" s="22"/>
    </row>
    <row r="1157" spans="1:4" x14ac:dyDescent="0.3">
      <c r="A1157" s="18"/>
      <c r="B1157" s="19"/>
      <c r="C1157" s="19"/>
      <c r="D1157" s="22"/>
    </row>
    <row r="1158" spans="1:4" x14ac:dyDescent="0.3">
      <c r="A1158" s="18"/>
      <c r="B1158" s="19"/>
      <c r="C1158" s="19"/>
      <c r="D1158" s="22"/>
    </row>
    <row r="1159" spans="1:4" x14ac:dyDescent="0.3">
      <c r="A1159" s="18"/>
      <c r="B1159" s="19"/>
      <c r="C1159" s="19"/>
      <c r="D1159" s="22"/>
    </row>
    <row r="1160" spans="1:4" x14ac:dyDescent="0.3">
      <c r="A1160" s="18"/>
      <c r="B1160" s="19"/>
      <c r="C1160" s="19"/>
      <c r="D1160" s="22"/>
    </row>
    <row r="1161" spans="1:4" x14ac:dyDescent="0.3">
      <c r="A1161" s="18"/>
      <c r="B1161" s="19"/>
      <c r="C1161" s="19"/>
      <c r="D1161" s="22"/>
    </row>
    <row r="1162" spans="1:4" x14ac:dyDescent="0.3">
      <c r="A1162" s="18"/>
      <c r="B1162" s="19"/>
      <c r="C1162" s="19"/>
      <c r="D1162" s="22"/>
    </row>
    <row r="1163" spans="1:4" x14ac:dyDescent="0.3">
      <c r="A1163" s="18"/>
      <c r="B1163" s="19"/>
      <c r="C1163" s="19"/>
      <c r="D1163" s="22"/>
    </row>
    <row r="1164" spans="1:4" x14ac:dyDescent="0.3">
      <c r="A1164" s="18"/>
      <c r="B1164" s="19"/>
      <c r="C1164" s="19"/>
      <c r="D1164" s="22"/>
    </row>
    <row r="1165" spans="1:4" x14ac:dyDescent="0.3">
      <c r="A1165" s="18"/>
      <c r="B1165" s="19"/>
      <c r="C1165" s="19"/>
      <c r="D1165" s="22"/>
    </row>
    <row r="1166" spans="1:4" x14ac:dyDescent="0.3">
      <c r="A1166" s="18"/>
      <c r="B1166" s="19"/>
      <c r="C1166" s="19"/>
      <c r="D1166" s="22"/>
    </row>
    <row r="1167" spans="1:4" x14ac:dyDescent="0.3">
      <c r="A1167" s="18"/>
      <c r="B1167" s="19"/>
      <c r="C1167" s="19"/>
      <c r="D1167" s="22"/>
    </row>
    <row r="1168" spans="1:4" x14ac:dyDescent="0.3">
      <c r="A1168" s="18"/>
      <c r="B1168" s="19"/>
      <c r="C1168" s="19"/>
      <c r="D1168" s="22"/>
    </row>
    <row r="1169" spans="1:4" x14ac:dyDescent="0.3">
      <c r="A1169" s="18"/>
      <c r="B1169" s="19"/>
      <c r="C1169" s="19"/>
      <c r="D1169" s="22"/>
    </row>
    <row r="1170" spans="1:4" x14ac:dyDescent="0.3">
      <c r="A1170" s="18"/>
      <c r="B1170" s="19"/>
      <c r="C1170" s="19"/>
      <c r="D1170" s="22"/>
    </row>
    <row r="1171" spans="1:4" x14ac:dyDescent="0.3">
      <c r="A1171" s="18"/>
      <c r="B1171" s="19"/>
      <c r="C1171" s="19"/>
      <c r="D1171" s="22"/>
    </row>
    <row r="1172" spans="1:4" x14ac:dyDescent="0.3">
      <c r="A1172" s="18"/>
      <c r="B1172" s="19"/>
      <c r="C1172" s="19"/>
      <c r="D1172" s="22"/>
    </row>
    <row r="1173" spans="1:4" x14ac:dyDescent="0.3">
      <c r="A1173" s="18"/>
      <c r="B1173" s="19"/>
      <c r="C1173" s="19"/>
      <c r="D1173" s="22"/>
    </row>
    <row r="1174" spans="1:4" x14ac:dyDescent="0.3">
      <c r="A1174" s="18"/>
      <c r="B1174" s="19"/>
      <c r="C1174" s="19"/>
      <c r="D1174" s="22"/>
    </row>
    <row r="1175" spans="1:4" x14ac:dyDescent="0.3">
      <c r="A1175" s="18"/>
      <c r="B1175" s="19"/>
      <c r="C1175" s="19"/>
      <c r="D1175" s="22"/>
    </row>
    <row r="1176" spans="1:4" x14ac:dyDescent="0.3">
      <c r="A1176" s="18"/>
      <c r="B1176" s="19"/>
      <c r="C1176" s="19"/>
      <c r="D1176" s="22"/>
    </row>
    <row r="1177" spans="1:4" x14ac:dyDescent="0.3">
      <c r="A1177" s="18"/>
      <c r="B1177" s="19"/>
      <c r="C1177" s="19"/>
      <c r="D1177" s="22"/>
    </row>
    <row r="1178" spans="1:4" x14ac:dyDescent="0.3">
      <c r="A1178" s="18"/>
      <c r="B1178" s="19"/>
      <c r="C1178" s="19"/>
      <c r="D1178" s="22"/>
    </row>
    <row r="1179" spans="1:4" x14ac:dyDescent="0.3">
      <c r="A1179" s="18"/>
      <c r="B1179" s="19"/>
      <c r="C1179" s="19"/>
      <c r="D1179" s="22"/>
    </row>
    <row r="1180" spans="1:4" x14ac:dyDescent="0.3">
      <c r="A1180" s="18"/>
      <c r="B1180" s="19"/>
      <c r="C1180" s="19"/>
      <c r="D1180" s="22"/>
    </row>
    <row r="1181" spans="1:4" x14ac:dyDescent="0.3">
      <c r="A1181" s="18"/>
      <c r="B1181" s="19"/>
      <c r="C1181" s="19"/>
      <c r="D1181" s="22"/>
    </row>
    <row r="1182" spans="1:4" x14ac:dyDescent="0.3">
      <c r="A1182" s="18"/>
      <c r="B1182" s="19"/>
      <c r="C1182" s="19"/>
      <c r="D1182" s="22"/>
    </row>
    <row r="1183" spans="1:4" x14ac:dyDescent="0.3">
      <c r="A1183" s="18"/>
      <c r="B1183" s="19"/>
      <c r="C1183" s="19"/>
      <c r="D1183" s="22"/>
    </row>
    <row r="1184" spans="1:4" x14ac:dyDescent="0.3">
      <c r="A1184" s="18"/>
      <c r="B1184" s="19"/>
      <c r="C1184" s="19"/>
      <c r="D1184" s="22"/>
    </row>
    <row r="1185" spans="1:4" x14ac:dyDescent="0.3">
      <c r="A1185" s="18"/>
      <c r="B1185" s="19"/>
      <c r="C1185" s="19"/>
      <c r="D1185" s="22"/>
    </row>
    <row r="1186" spans="1:4" x14ac:dyDescent="0.3">
      <c r="A1186" s="18"/>
      <c r="B1186" s="19"/>
      <c r="C1186" s="19"/>
      <c r="D1186" s="22"/>
    </row>
    <row r="1187" spans="1:4" x14ac:dyDescent="0.3">
      <c r="A1187" s="18"/>
      <c r="B1187" s="19"/>
      <c r="C1187" s="19"/>
      <c r="D1187" s="22"/>
    </row>
    <row r="1188" spans="1:4" x14ac:dyDescent="0.3">
      <c r="A1188" s="18"/>
      <c r="B1188" s="19"/>
      <c r="C1188" s="19"/>
      <c r="D1188" s="22"/>
    </row>
    <row r="1189" spans="1:4" x14ac:dyDescent="0.3">
      <c r="A1189" s="18"/>
      <c r="B1189" s="19"/>
      <c r="C1189" s="19"/>
      <c r="D1189" s="22"/>
    </row>
    <row r="1190" spans="1:4" x14ac:dyDescent="0.3">
      <c r="A1190" s="18"/>
      <c r="B1190" s="19"/>
      <c r="C1190" s="19"/>
      <c r="D1190" s="22"/>
    </row>
    <row r="1191" spans="1:4" x14ac:dyDescent="0.3">
      <c r="A1191" s="18"/>
      <c r="B1191" s="19"/>
      <c r="C1191" s="19"/>
      <c r="D1191" s="22"/>
    </row>
    <row r="1192" spans="1:4" x14ac:dyDescent="0.3">
      <c r="A1192" s="18"/>
      <c r="B1192" s="19"/>
      <c r="C1192" s="19"/>
      <c r="D1192" s="22"/>
    </row>
    <row r="1193" spans="1:4" x14ac:dyDescent="0.3">
      <c r="A1193" s="18"/>
      <c r="B1193" s="19"/>
      <c r="C1193" s="19"/>
      <c r="D1193" s="22"/>
    </row>
    <row r="1194" spans="1:4" x14ac:dyDescent="0.3">
      <c r="A1194" s="18"/>
      <c r="B1194" s="19"/>
      <c r="C1194" s="19"/>
      <c r="D1194" s="22"/>
    </row>
    <row r="1195" spans="1:4" x14ac:dyDescent="0.3">
      <c r="A1195" s="18"/>
      <c r="B1195" s="19"/>
      <c r="C1195" s="19"/>
      <c r="D1195" s="22"/>
    </row>
    <row r="1196" spans="1:4" x14ac:dyDescent="0.3">
      <c r="A1196" s="18"/>
      <c r="B1196" s="19"/>
      <c r="C1196" s="19"/>
      <c r="D1196" s="22"/>
    </row>
    <row r="1197" spans="1:4" x14ac:dyDescent="0.3">
      <c r="A1197" s="18"/>
      <c r="B1197" s="19"/>
      <c r="C1197" s="19"/>
      <c r="D1197" s="22"/>
    </row>
    <row r="1198" spans="1:4" x14ac:dyDescent="0.3">
      <c r="A1198" s="18"/>
      <c r="B1198" s="19"/>
      <c r="C1198" s="19"/>
      <c r="D1198" s="22"/>
    </row>
    <row r="1199" spans="1:4" x14ac:dyDescent="0.3">
      <c r="A1199" s="18"/>
      <c r="B1199" s="19"/>
      <c r="C1199" s="19"/>
      <c r="D1199" s="22"/>
    </row>
    <row r="1200" spans="1:4" x14ac:dyDescent="0.3">
      <c r="A1200" s="18"/>
      <c r="B1200" s="19"/>
      <c r="C1200" s="19"/>
      <c r="D1200" s="22"/>
    </row>
    <row r="1201" spans="1:4" x14ac:dyDescent="0.3">
      <c r="A1201" s="18"/>
      <c r="B1201" s="19"/>
      <c r="C1201" s="19"/>
      <c r="D1201" s="22"/>
    </row>
    <row r="1202" spans="1:4" x14ac:dyDescent="0.3">
      <c r="A1202" s="18"/>
      <c r="B1202" s="19"/>
      <c r="C1202" s="19"/>
      <c r="D1202" s="22"/>
    </row>
    <row r="1203" spans="1:4" x14ac:dyDescent="0.3">
      <c r="A1203" s="18"/>
      <c r="B1203" s="19"/>
      <c r="C1203" s="19"/>
      <c r="D1203" s="22"/>
    </row>
    <row r="1204" spans="1:4" x14ac:dyDescent="0.3">
      <c r="A1204" s="18"/>
      <c r="B1204" s="19"/>
      <c r="C1204" s="19"/>
      <c r="D1204" s="22"/>
    </row>
    <row r="1205" spans="1:4" x14ac:dyDescent="0.3">
      <c r="A1205" s="18"/>
      <c r="B1205" s="19"/>
      <c r="C1205" s="19"/>
      <c r="D1205" s="22"/>
    </row>
    <row r="1206" spans="1:4" x14ac:dyDescent="0.3">
      <c r="A1206" s="18"/>
      <c r="B1206" s="19"/>
      <c r="C1206" s="19"/>
      <c r="D1206" s="22"/>
    </row>
    <row r="1207" spans="1:4" x14ac:dyDescent="0.3">
      <c r="A1207" s="18"/>
      <c r="B1207" s="19"/>
      <c r="C1207" s="19"/>
      <c r="D1207" s="22"/>
    </row>
    <row r="1208" spans="1:4" x14ac:dyDescent="0.3">
      <c r="A1208" s="18"/>
      <c r="B1208" s="19"/>
      <c r="C1208" s="19"/>
      <c r="D1208" s="22"/>
    </row>
    <row r="1209" spans="1:4" x14ac:dyDescent="0.3">
      <c r="A1209" s="18"/>
      <c r="B1209" s="19"/>
      <c r="C1209" s="19"/>
      <c r="D1209" s="22"/>
    </row>
    <row r="1210" spans="1:4" x14ac:dyDescent="0.3">
      <c r="A1210" s="18"/>
      <c r="B1210" s="19"/>
      <c r="C1210" s="19"/>
      <c r="D1210" s="22"/>
    </row>
    <row r="1211" spans="1:4" x14ac:dyDescent="0.3">
      <c r="A1211" s="18"/>
      <c r="B1211" s="19"/>
      <c r="C1211" s="19"/>
      <c r="D1211" s="22"/>
    </row>
    <row r="1212" spans="1:4" x14ac:dyDescent="0.3">
      <c r="A1212" s="18"/>
      <c r="B1212" s="19"/>
      <c r="C1212" s="19"/>
      <c r="D1212" s="22"/>
    </row>
    <row r="1213" spans="1:4" x14ac:dyDescent="0.3">
      <c r="A1213" s="18"/>
      <c r="B1213" s="19"/>
      <c r="C1213" s="19"/>
      <c r="D1213" s="22"/>
    </row>
    <row r="1214" spans="1:4" x14ac:dyDescent="0.3">
      <c r="A1214" s="18"/>
      <c r="B1214" s="19"/>
      <c r="C1214" s="19"/>
      <c r="D1214" s="22"/>
    </row>
    <row r="1215" spans="1:4" x14ac:dyDescent="0.3">
      <c r="A1215" s="18"/>
      <c r="B1215" s="19"/>
      <c r="C1215" s="19"/>
      <c r="D1215" s="22"/>
    </row>
    <row r="1216" spans="1:4" x14ac:dyDescent="0.3">
      <c r="A1216" s="18"/>
      <c r="B1216" s="19"/>
      <c r="C1216" s="19"/>
      <c r="D1216" s="22"/>
    </row>
    <row r="1217" spans="1:4" x14ac:dyDescent="0.3">
      <c r="A1217" s="18"/>
      <c r="B1217" s="19"/>
      <c r="C1217" s="19"/>
      <c r="D1217" s="22"/>
    </row>
    <row r="1218" spans="1:4" x14ac:dyDescent="0.3">
      <c r="A1218" s="18"/>
      <c r="B1218" s="19"/>
      <c r="C1218" s="19"/>
      <c r="D1218" s="22"/>
    </row>
    <row r="1219" spans="1:4" x14ac:dyDescent="0.3">
      <c r="A1219" s="18"/>
      <c r="B1219" s="19"/>
      <c r="C1219" s="19"/>
      <c r="D1219" s="22"/>
    </row>
    <row r="1220" spans="1:4" x14ac:dyDescent="0.3">
      <c r="A1220" s="18"/>
      <c r="B1220" s="19"/>
      <c r="C1220" s="19"/>
      <c r="D1220" s="22"/>
    </row>
    <row r="1221" spans="1:4" x14ac:dyDescent="0.3">
      <c r="A1221" s="18"/>
      <c r="B1221" s="19"/>
      <c r="C1221" s="19"/>
      <c r="D1221" s="22"/>
    </row>
    <row r="1222" spans="1:4" x14ac:dyDescent="0.3">
      <c r="A1222" s="18"/>
      <c r="B1222" s="19"/>
      <c r="C1222" s="19"/>
      <c r="D1222" s="22"/>
    </row>
    <row r="1223" spans="1:4" x14ac:dyDescent="0.3">
      <c r="A1223" s="18"/>
      <c r="B1223" s="19"/>
      <c r="C1223" s="19"/>
      <c r="D1223" s="22"/>
    </row>
    <row r="1224" spans="1:4" x14ac:dyDescent="0.3">
      <c r="A1224" s="18"/>
      <c r="B1224" s="19"/>
      <c r="C1224" s="19"/>
      <c r="D1224" s="22"/>
    </row>
    <row r="1225" spans="1:4" x14ac:dyDescent="0.3">
      <c r="A1225" s="18"/>
      <c r="B1225" s="19"/>
      <c r="C1225" s="19"/>
      <c r="D1225" s="22"/>
    </row>
    <row r="1226" spans="1:4" x14ac:dyDescent="0.3">
      <c r="A1226" s="18"/>
      <c r="B1226" s="19"/>
      <c r="C1226" s="19"/>
      <c r="D1226" s="22"/>
    </row>
    <row r="1227" spans="1:4" x14ac:dyDescent="0.3">
      <c r="A1227" s="18"/>
      <c r="B1227" s="19"/>
      <c r="C1227" s="19"/>
      <c r="D1227" s="22"/>
    </row>
    <row r="1228" spans="1:4" x14ac:dyDescent="0.3">
      <c r="A1228" s="18"/>
      <c r="B1228" s="19"/>
      <c r="C1228" s="19"/>
      <c r="D1228" s="22"/>
    </row>
    <row r="1229" spans="1:4" x14ac:dyDescent="0.3">
      <c r="A1229" s="18"/>
      <c r="B1229" s="19"/>
      <c r="C1229" s="19"/>
      <c r="D1229" s="22"/>
    </row>
    <row r="1230" spans="1:4" x14ac:dyDescent="0.3">
      <c r="A1230" s="18"/>
      <c r="B1230" s="19"/>
      <c r="C1230" s="19"/>
      <c r="D1230" s="22"/>
    </row>
    <row r="1231" spans="1:4" x14ac:dyDescent="0.3">
      <c r="A1231" s="18"/>
      <c r="B1231" s="19"/>
      <c r="C1231" s="19"/>
      <c r="D1231" s="22"/>
    </row>
    <row r="1232" spans="1:4" x14ac:dyDescent="0.3">
      <c r="A1232" s="18"/>
      <c r="B1232" s="19"/>
      <c r="C1232" s="19"/>
      <c r="D1232" s="22"/>
    </row>
    <row r="1233" spans="1:4" x14ac:dyDescent="0.3">
      <c r="A1233" s="18"/>
      <c r="B1233" s="19"/>
      <c r="C1233" s="19"/>
      <c r="D1233" s="22"/>
    </row>
    <row r="1234" spans="1:4" x14ac:dyDescent="0.3">
      <c r="A1234" s="18"/>
      <c r="B1234" s="19"/>
      <c r="C1234" s="19"/>
      <c r="D1234" s="22"/>
    </row>
    <row r="1235" spans="1:4" x14ac:dyDescent="0.3">
      <c r="A1235" s="18"/>
      <c r="B1235" s="19"/>
      <c r="C1235" s="19"/>
      <c r="D1235" s="22"/>
    </row>
    <row r="1236" spans="1:4" x14ac:dyDescent="0.3">
      <c r="A1236" s="18"/>
      <c r="B1236" s="19"/>
      <c r="C1236" s="19"/>
      <c r="D1236" s="22"/>
    </row>
    <row r="1237" spans="1:4" x14ac:dyDescent="0.3">
      <c r="A1237" s="18"/>
      <c r="B1237" s="19"/>
      <c r="C1237" s="19"/>
      <c r="D1237" s="22"/>
    </row>
    <row r="1238" spans="1:4" x14ac:dyDescent="0.3">
      <c r="A1238" s="18"/>
      <c r="B1238" s="19"/>
      <c r="C1238" s="19"/>
      <c r="D1238" s="22"/>
    </row>
    <row r="1239" spans="1:4" x14ac:dyDescent="0.3">
      <c r="A1239" s="18"/>
      <c r="B1239" s="19"/>
      <c r="C1239" s="19"/>
      <c r="D1239" s="22"/>
    </row>
    <row r="1240" spans="1:4" x14ac:dyDescent="0.3">
      <c r="A1240" s="18"/>
      <c r="B1240" s="19"/>
      <c r="C1240" s="19"/>
      <c r="D1240" s="22"/>
    </row>
    <row r="1241" spans="1:4" x14ac:dyDescent="0.3">
      <c r="A1241" s="18"/>
      <c r="B1241" s="19"/>
      <c r="C1241" s="19"/>
      <c r="D1241" s="22"/>
    </row>
    <row r="1242" spans="1:4" x14ac:dyDescent="0.3">
      <c r="A1242" s="18"/>
      <c r="B1242" s="19"/>
      <c r="C1242" s="19"/>
      <c r="D1242" s="22"/>
    </row>
    <row r="1243" spans="1:4" x14ac:dyDescent="0.3">
      <c r="A1243" s="18"/>
      <c r="B1243" s="19"/>
      <c r="C1243" s="19"/>
      <c r="D1243" s="22"/>
    </row>
    <row r="1244" spans="1:4" x14ac:dyDescent="0.3">
      <c r="A1244" s="18"/>
      <c r="B1244" s="19"/>
      <c r="C1244" s="19"/>
      <c r="D1244" s="22"/>
    </row>
    <row r="1245" spans="1:4" x14ac:dyDescent="0.3">
      <c r="A1245" s="18"/>
      <c r="B1245" s="19"/>
      <c r="C1245" s="19"/>
      <c r="D1245" s="22"/>
    </row>
    <row r="1246" spans="1:4" x14ac:dyDescent="0.3">
      <c r="A1246" s="18"/>
      <c r="B1246" s="19"/>
      <c r="C1246" s="19"/>
      <c r="D1246" s="22"/>
    </row>
    <row r="1247" spans="1:4" x14ac:dyDescent="0.3">
      <c r="A1247" s="18"/>
      <c r="B1247" s="19"/>
      <c r="C1247" s="19"/>
      <c r="D1247" s="22"/>
    </row>
    <row r="1248" spans="1:4" x14ac:dyDescent="0.3">
      <c r="A1248" s="18"/>
      <c r="B1248" s="19"/>
      <c r="C1248" s="19"/>
      <c r="D1248" s="22"/>
    </row>
    <row r="1249" spans="1:4" x14ac:dyDescent="0.3">
      <c r="A1249" s="18"/>
      <c r="B1249" s="19"/>
      <c r="C1249" s="19"/>
      <c r="D1249" s="22"/>
    </row>
    <row r="1250" spans="1:4" x14ac:dyDescent="0.3">
      <c r="A1250" s="18"/>
      <c r="B1250" s="19"/>
      <c r="C1250" s="19"/>
      <c r="D1250" s="22"/>
    </row>
    <row r="1251" spans="1:4" x14ac:dyDescent="0.3">
      <c r="A1251" s="18"/>
      <c r="B1251" s="19"/>
      <c r="C1251" s="19"/>
      <c r="D1251" s="22"/>
    </row>
    <row r="1252" spans="1:4" x14ac:dyDescent="0.3">
      <c r="A1252" s="18"/>
      <c r="B1252" s="19"/>
      <c r="C1252" s="19"/>
      <c r="D1252" s="22"/>
    </row>
    <row r="1253" spans="1:4" x14ac:dyDescent="0.3">
      <c r="A1253" s="18"/>
      <c r="B1253" s="19"/>
      <c r="C1253" s="19"/>
      <c r="D1253" s="22"/>
    </row>
    <row r="1254" spans="1:4" x14ac:dyDescent="0.3">
      <c r="A1254" s="18"/>
      <c r="B1254" s="19"/>
      <c r="C1254" s="19"/>
      <c r="D1254" s="22"/>
    </row>
    <row r="1255" spans="1:4" x14ac:dyDescent="0.3">
      <c r="A1255" s="18"/>
      <c r="B1255" s="19"/>
      <c r="C1255" s="19"/>
      <c r="D1255" s="22"/>
    </row>
    <row r="1256" spans="1:4" x14ac:dyDescent="0.3">
      <c r="A1256" s="18"/>
      <c r="B1256" s="19"/>
      <c r="C1256" s="19"/>
      <c r="D1256" s="22"/>
    </row>
    <row r="1257" spans="1:4" x14ac:dyDescent="0.3">
      <c r="A1257" s="18"/>
      <c r="B1257" s="19"/>
      <c r="C1257" s="19"/>
      <c r="D1257" s="22"/>
    </row>
    <row r="1258" spans="1:4" x14ac:dyDescent="0.3">
      <c r="A1258" s="18"/>
      <c r="B1258" s="19"/>
      <c r="C1258" s="19"/>
      <c r="D1258" s="22"/>
    </row>
    <row r="1259" spans="1:4" x14ac:dyDescent="0.3">
      <c r="A1259" s="18"/>
      <c r="B1259" s="19"/>
      <c r="C1259" s="19"/>
      <c r="D1259" s="22"/>
    </row>
    <row r="1260" spans="1:4" x14ac:dyDescent="0.3">
      <c r="A1260" s="18"/>
      <c r="B1260" s="19"/>
      <c r="C1260" s="19"/>
      <c r="D1260" s="22"/>
    </row>
    <row r="1261" spans="1:4" x14ac:dyDescent="0.3">
      <c r="A1261" s="18"/>
      <c r="B1261" s="19"/>
      <c r="C1261" s="19"/>
      <c r="D1261" s="22"/>
    </row>
    <row r="1262" spans="1:4" x14ac:dyDescent="0.3">
      <c r="A1262" s="18"/>
      <c r="B1262" s="19"/>
      <c r="C1262" s="19"/>
      <c r="D1262" s="22"/>
    </row>
    <row r="1263" spans="1:4" x14ac:dyDescent="0.3">
      <c r="A1263" s="18"/>
      <c r="B1263" s="19"/>
      <c r="C1263" s="19"/>
      <c r="D1263" s="22"/>
    </row>
    <row r="1264" spans="1:4" x14ac:dyDescent="0.3">
      <c r="A1264" s="18"/>
      <c r="B1264" s="19"/>
      <c r="C1264" s="19"/>
      <c r="D1264" s="22"/>
    </row>
    <row r="1265" spans="1:4" x14ac:dyDescent="0.3">
      <c r="A1265" s="18"/>
      <c r="B1265" s="19"/>
      <c r="C1265" s="19"/>
      <c r="D1265" s="22"/>
    </row>
    <row r="1266" spans="1:4" x14ac:dyDescent="0.3">
      <c r="A1266" s="18"/>
      <c r="B1266" s="19"/>
      <c r="C1266" s="19"/>
      <c r="D1266" s="22"/>
    </row>
    <row r="1267" spans="1:4" x14ac:dyDescent="0.3">
      <c r="A1267" s="18"/>
      <c r="B1267" s="19"/>
      <c r="C1267" s="19"/>
      <c r="D1267" s="22"/>
    </row>
    <row r="1268" spans="1:4" x14ac:dyDescent="0.3">
      <c r="A1268" s="18"/>
      <c r="B1268" s="19"/>
      <c r="C1268" s="19"/>
      <c r="D1268" s="22"/>
    </row>
    <row r="1269" spans="1:4" x14ac:dyDescent="0.3">
      <c r="A1269" s="18"/>
      <c r="B1269" s="19"/>
      <c r="C1269" s="19"/>
      <c r="D1269" s="22"/>
    </row>
    <row r="1270" spans="1:4" x14ac:dyDescent="0.3">
      <c r="A1270" s="18"/>
      <c r="B1270" s="19"/>
      <c r="C1270" s="19"/>
      <c r="D1270" s="22"/>
    </row>
    <row r="1271" spans="1:4" x14ac:dyDescent="0.3">
      <c r="A1271" s="18"/>
      <c r="B1271" s="19"/>
      <c r="C1271" s="19"/>
      <c r="D1271" s="22"/>
    </row>
    <row r="1272" spans="1:4" x14ac:dyDescent="0.3">
      <c r="A1272" s="18"/>
      <c r="B1272" s="19"/>
      <c r="C1272" s="19"/>
      <c r="D1272" s="22"/>
    </row>
    <row r="1273" spans="1:4" x14ac:dyDescent="0.3">
      <c r="A1273" s="18"/>
      <c r="B1273" s="19"/>
      <c r="C1273" s="19"/>
      <c r="D1273" s="22"/>
    </row>
    <row r="1274" spans="1:4" x14ac:dyDescent="0.3">
      <c r="A1274" s="18"/>
      <c r="B1274" s="19"/>
      <c r="C1274" s="19"/>
      <c r="D1274" s="22"/>
    </row>
    <row r="1275" spans="1:4" x14ac:dyDescent="0.3">
      <c r="A1275" s="18"/>
      <c r="B1275" s="19"/>
      <c r="C1275" s="19"/>
      <c r="D1275" s="22"/>
    </row>
    <row r="1276" spans="1:4" x14ac:dyDescent="0.3">
      <c r="A1276" s="18"/>
      <c r="B1276" s="19"/>
      <c r="C1276" s="19"/>
      <c r="D1276" s="22"/>
    </row>
    <row r="1277" spans="1:4" x14ac:dyDescent="0.3">
      <c r="A1277" s="18"/>
      <c r="B1277" s="19"/>
      <c r="C1277" s="19"/>
      <c r="D1277" s="22"/>
    </row>
    <row r="1278" spans="1:4" x14ac:dyDescent="0.3">
      <c r="A1278" s="18"/>
      <c r="B1278" s="19"/>
      <c r="C1278" s="19"/>
      <c r="D1278" s="22"/>
    </row>
    <row r="1279" spans="1:4" x14ac:dyDescent="0.3">
      <c r="A1279" s="18"/>
      <c r="B1279" s="19"/>
      <c r="C1279" s="19"/>
      <c r="D1279" s="22"/>
    </row>
    <row r="1280" spans="1:4" x14ac:dyDescent="0.3">
      <c r="A1280" s="18"/>
      <c r="B1280" s="19"/>
      <c r="C1280" s="19"/>
      <c r="D1280" s="22"/>
    </row>
    <row r="1281" spans="1:4" x14ac:dyDescent="0.3">
      <c r="A1281" s="18"/>
      <c r="B1281" s="19"/>
      <c r="C1281" s="19"/>
      <c r="D1281" s="22"/>
    </row>
    <row r="1282" spans="1:4" x14ac:dyDescent="0.3">
      <c r="A1282" s="18"/>
      <c r="B1282" s="19"/>
      <c r="C1282" s="19"/>
      <c r="D1282" s="22"/>
    </row>
    <row r="1283" spans="1:4" x14ac:dyDescent="0.3">
      <c r="A1283" s="18"/>
      <c r="B1283" s="19"/>
      <c r="C1283" s="19"/>
      <c r="D1283" s="22"/>
    </row>
    <row r="1284" spans="1:4" x14ac:dyDescent="0.3">
      <c r="A1284" s="18"/>
      <c r="B1284" s="19"/>
      <c r="C1284" s="19"/>
      <c r="D1284" s="22"/>
    </row>
    <row r="1285" spans="1:4" x14ac:dyDescent="0.3">
      <c r="A1285" s="18"/>
      <c r="B1285" s="19"/>
      <c r="C1285" s="19"/>
      <c r="D1285" s="22"/>
    </row>
    <row r="1286" spans="1:4" x14ac:dyDescent="0.3">
      <c r="A1286" s="18"/>
      <c r="B1286" s="19"/>
      <c r="C1286" s="19"/>
      <c r="D1286" s="22"/>
    </row>
    <row r="1287" spans="1:4" x14ac:dyDescent="0.3">
      <c r="A1287" s="18"/>
      <c r="B1287" s="19"/>
      <c r="C1287" s="19"/>
      <c r="D1287" s="22"/>
    </row>
    <row r="1288" spans="1:4" x14ac:dyDescent="0.3">
      <c r="A1288" s="18"/>
      <c r="B1288" s="19"/>
      <c r="C1288" s="19"/>
      <c r="D1288" s="22"/>
    </row>
    <row r="1289" spans="1:4" x14ac:dyDescent="0.3">
      <c r="A1289" s="18"/>
      <c r="B1289" s="19"/>
      <c r="C1289" s="19"/>
      <c r="D1289" s="22"/>
    </row>
    <row r="1290" spans="1:4" x14ac:dyDescent="0.3">
      <c r="A1290" s="18"/>
      <c r="B1290" s="19"/>
      <c r="C1290" s="19"/>
      <c r="D1290" s="22"/>
    </row>
    <row r="1291" spans="1:4" x14ac:dyDescent="0.3">
      <c r="A1291" s="18"/>
      <c r="B1291" s="19"/>
      <c r="C1291" s="19"/>
      <c r="D1291" s="22"/>
    </row>
    <row r="1292" spans="1:4" x14ac:dyDescent="0.3">
      <c r="A1292" s="18"/>
      <c r="B1292" s="19"/>
      <c r="C1292" s="19"/>
      <c r="D1292" s="22"/>
    </row>
    <row r="1293" spans="1:4" x14ac:dyDescent="0.3">
      <c r="A1293" s="18"/>
      <c r="B1293" s="19"/>
      <c r="C1293" s="19"/>
      <c r="D1293" s="22"/>
    </row>
    <row r="1294" spans="1:4" x14ac:dyDescent="0.3">
      <c r="A1294" s="18"/>
      <c r="B1294" s="19"/>
      <c r="C1294" s="19"/>
      <c r="D1294" s="22"/>
    </row>
    <row r="1295" spans="1:4" x14ac:dyDescent="0.3">
      <c r="A1295" s="18"/>
      <c r="B1295" s="19"/>
      <c r="C1295" s="19"/>
      <c r="D1295" s="22"/>
    </row>
    <row r="1296" spans="1:4" x14ac:dyDescent="0.3">
      <c r="A1296" s="18"/>
      <c r="B1296" s="19"/>
      <c r="C1296" s="19"/>
      <c r="D1296" s="22"/>
    </row>
    <row r="1297" spans="1:4" x14ac:dyDescent="0.3">
      <c r="A1297" s="18"/>
      <c r="B1297" s="19"/>
      <c r="C1297" s="19"/>
      <c r="D1297" s="22"/>
    </row>
    <row r="1298" spans="1:4" x14ac:dyDescent="0.3">
      <c r="A1298" s="18"/>
      <c r="B1298" s="19"/>
      <c r="C1298" s="19"/>
      <c r="D1298" s="22"/>
    </row>
    <row r="1299" spans="1:4" x14ac:dyDescent="0.3">
      <c r="A1299" s="18"/>
      <c r="B1299" s="19"/>
      <c r="C1299" s="19"/>
      <c r="D1299" s="22"/>
    </row>
    <row r="1300" spans="1:4" x14ac:dyDescent="0.3">
      <c r="A1300" s="18"/>
      <c r="B1300" s="19"/>
      <c r="C1300" s="19"/>
      <c r="D1300" s="22"/>
    </row>
    <row r="1301" spans="1:4" x14ac:dyDescent="0.3">
      <c r="A1301" s="18"/>
      <c r="B1301" s="19"/>
      <c r="C1301" s="19"/>
      <c r="D1301" s="22"/>
    </row>
    <row r="1302" spans="1:4" x14ac:dyDescent="0.3">
      <c r="A1302" s="18"/>
      <c r="B1302" s="19"/>
      <c r="C1302" s="19"/>
      <c r="D1302" s="22"/>
    </row>
    <row r="1303" spans="1:4" x14ac:dyDescent="0.3">
      <c r="A1303" s="18"/>
      <c r="B1303" s="19"/>
      <c r="C1303" s="19"/>
      <c r="D1303" s="22"/>
    </row>
    <row r="1304" spans="1:4" x14ac:dyDescent="0.3">
      <c r="A1304" s="18"/>
      <c r="B1304" s="19"/>
      <c r="C1304" s="19"/>
      <c r="D1304" s="22"/>
    </row>
    <row r="1305" spans="1:4" x14ac:dyDescent="0.3">
      <c r="A1305" s="18"/>
      <c r="B1305" s="19"/>
      <c r="C1305" s="19"/>
      <c r="D1305" s="22"/>
    </row>
    <row r="1306" spans="1:4" x14ac:dyDescent="0.3">
      <c r="A1306" s="18"/>
      <c r="B1306" s="19"/>
      <c r="C1306" s="19"/>
      <c r="D1306" s="22"/>
    </row>
    <row r="1307" spans="1:4" x14ac:dyDescent="0.3">
      <c r="A1307" s="18"/>
      <c r="B1307" s="19"/>
      <c r="C1307" s="19"/>
      <c r="D1307" s="22"/>
    </row>
    <row r="1308" spans="1:4" x14ac:dyDescent="0.3">
      <c r="A1308" s="18"/>
      <c r="B1308" s="19"/>
      <c r="C1308" s="19"/>
      <c r="D1308" s="22"/>
    </row>
    <row r="1309" spans="1:4" x14ac:dyDescent="0.3">
      <c r="A1309" s="18"/>
      <c r="B1309" s="19"/>
      <c r="C1309" s="19"/>
      <c r="D1309" s="22"/>
    </row>
    <row r="1310" spans="1:4" x14ac:dyDescent="0.3">
      <c r="A1310" s="18"/>
      <c r="B1310" s="19"/>
      <c r="C1310" s="19"/>
      <c r="D1310" s="22"/>
    </row>
    <row r="1311" spans="1:4" x14ac:dyDescent="0.3">
      <c r="A1311" s="18"/>
      <c r="B1311" s="19"/>
      <c r="C1311" s="19"/>
      <c r="D1311" s="22"/>
    </row>
    <row r="1312" spans="1:4" x14ac:dyDescent="0.3">
      <c r="A1312" s="18"/>
      <c r="B1312" s="19"/>
      <c r="C1312" s="19"/>
      <c r="D1312" s="22"/>
    </row>
    <row r="1313" spans="1:4" x14ac:dyDescent="0.3">
      <c r="A1313" s="18"/>
      <c r="B1313" s="19"/>
      <c r="C1313" s="19"/>
      <c r="D1313" s="22"/>
    </row>
    <row r="1314" spans="1:4" x14ac:dyDescent="0.3">
      <c r="A1314" s="18"/>
      <c r="B1314" s="19"/>
      <c r="C1314" s="19"/>
      <c r="D1314" s="22"/>
    </row>
    <row r="1315" spans="1:4" x14ac:dyDescent="0.3">
      <c r="A1315" s="18"/>
      <c r="B1315" s="19"/>
      <c r="C1315" s="19"/>
      <c r="D1315" s="22"/>
    </row>
    <row r="1316" spans="1:4" x14ac:dyDescent="0.3">
      <c r="A1316" s="18"/>
      <c r="B1316" s="19"/>
      <c r="C1316" s="19"/>
      <c r="D1316" s="22"/>
    </row>
    <row r="1317" spans="1:4" x14ac:dyDescent="0.3">
      <c r="A1317" s="18"/>
      <c r="B1317" s="19"/>
      <c r="C1317" s="19"/>
      <c r="D1317" s="22"/>
    </row>
    <row r="1318" spans="1:4" x14ac:dyDescent="0.3">
      <c r="A1318" s="18"/>
      <c r="B1318" s="19"/>
      <c r="C1318" s="19"/>
      <c r="D1318" s="22"/>
    </row>
    <row r="1319" spans="1:4" x14ac:dyDescent="0.3">
      <c r="A1319" s="18"/>
      <c r="B1319" s="19"/>
      <c r="C1319" s="19"/>
      <c r="D1319" s="22"/>
    </row>
    <row r="1320" spans="1:4" x14ac:dyDescent="0.3">
      <c r="A1320" s="18"/>
      <c r="B1320" s="19"/>
      <c r="C1320" s="19"/>
      <c r="D1320" s="22"/>
    </row>
    <row r="1321" spans="1:4" x14ac:dyDescent="0.3">
      <c r="A1321" s="18"/>
      <c r="B1321" s="19"/>
      <c r="C1321" s="19"/>
      <c r="D1321" s="22"/>
    </row>
    <row r="1322" spans="1:4" x14ac:dyDescent="0.3">
      <c r="A1322" s="18"/>
      <c r="B1322" s="19"/>
      <c r="C1322" s="19"/>
      <c r="D1322" s="22"/>
    </row>
    <row r="1323" spans="1:4" x14ac:dyDescent="0.3">
      <c r="A1323" s="18"/>
      <c r="B1323" s="19"/>
      <c r="C1323" s="19"/>
      <c r="D1323" s="22"/>
    </row>
    <row r="1324" spans="1:4" x14ac:dyDescent="0.3">
      <c r="A1324" s="18"/>
      <c r="B1324" s="19"/>
      <c r="C1324" s="19"/>
      <c r="D1324" s="22"/>
    </row>
    <row r="1325" spans="1:4" x14ac:dyDescent="0.3">
      <c r="A1325" s="18"/>
      <c r="B1325" s="19"/>
      <c r="C1325" s="19"/>
      <c r="D1325" s="22"/>
    </row>
    <row r="1326" spans="1:4" x14ac:dyDescent="0.3">
      <c r="A1326" s="18"/>
      <c r="B1326" s="19"/>
      <c r="C1326" s="19"/>
      <c r="D1326" s="22"/>
    </row>
    <row r="1327" spans="1:4" x14ac:dyDescent="0.3">
      <c r="A1327" s="18"/>
      <c r="B1327" s="19"/>
      <c r="C1327" s="19"/>
      <c r="D1327" s="22"/>
    </row>
    <row r="1328" spans="1:4" x14ac:dyDescent="0.3">
      <c r="A1328" s="18"/>
      <c r="B1328" s="19"/>
      <c r="C1328" s="19"/>
      <c r="D1328" s="22"/>
    </row>
    <row r="1329" spans="1:4" x14ac:dyDescent="0.3">
      <c r="A1329" s="18"/>
      <c r="B1329" s="19"/>
      <c r="C1329" s="19"/>
      <c r="D1329" s="22"/>
    </row>
    <row r="1330" spans="1:4" x14ac:dyDescent="0.3">
      <c r="A1330" s="18"/>
      <c r="B1330" s="19"/>
      <c r="C1330" s="19"/>
      <c r="D1330" s="22"/>
    </row>
    <row r="1331" spans="1:4" x14ac:dyDescent="0.3">
      <c r="A1331" s="18"/>
      <c r="B1331" s="19"/>
      <c r="C1331" s="19"/>
      <c r="D1331" s="22"/>
    </row>
    <row r="1332" spans="1:4" x14ac:dyDescent="0.3">
      <c r="A1332" s="18"/>
      <c r="B1332" s="19"/>
      <c r="C1332" s="19"/>
      <c r="D1332" s="22"/>
    </row>
    <row r="1333" spans="1:4" x14ac:dyDescent="0.3">
      <c r="A1333" s="18"/>
      <c r="B1333" s="19"/>
      <c r="C1333" s="19"/>
      <c r="D1333" s="22"/>
    </row>
    <row r="1334" spans="1:4" x14ac:dyDescent="0.3">
      <c r="A1334" s="18"/>
      <c r="B1334" s="19"/>
      <c r="C1334" s="19"/>
      <c r="D1334" s="22"/>
    </row>
    <row r="1335" spans="1:4" x14ac:dyDescent="0.3">
      <c r="A1335" s="18"/>
      <c r="B1335" s="19"/>
      <c r="C1335" s="19"/>
      <c r="D1335" s="22"/>
    </row>
    <row r="1336" spans="1:4" x14ac:dyDescent="0.3">
      <c r="A1336" s="18"/>
      <c r="B1336" s="19"/>
      <c r="C1336" s="19"/>
      <c r="D1336" s="22"/>
    </row>
    <row r="1337" spans="1:4" x14ac:dyDescent="0.3">
      <c r="A1337" s="18"/>
      <c r="B1337" s="19"/>
      <c r="C1337" s="19"/>
      <c r="D1337" s="22"/>
    </row>
    <row r="1338" spans="1:4" x14ac:dyDescent="0.3">
      <c r="A1338" s="18"/>
      <c r="B1338" s="19"/>
      <c r="C1338" s="19"/>
      <c r="D1338" s="22"/>
    </row>
    <row r="1339" spans="1:4" x14ac:dyDescent="0.3">
      <c r="A1339" s="18"/>
      <c r="B1339" s="19"/>
      <c r="C1339" s="19"/>
      <c r="D1339" s="22"/>
    </row>
    <row r="1340" spans="1:4" x14ac:dyDescent="0.3">
      <c r="A1340" s="18"/>
      <c r="B1340" s="19"/>
      <c r="C1340" s="19"/>
      <c r="D1340" s="22"/>
    </row>
    <row r="1341" spans="1:4" x14ac:dyDescent="0.3">
      <c r="A1341" s="18"/>
      <c r="B1341" s="19"/>
      <c r="C1341" s="19"/>
      <c r="D1341" s="22"/>
    </row>
    <row r="1342" spans="1:4" x14ac:dyDescent="0.3">
      <c r="A1342" s="18"/>
      <c r="B1342" s="19"/>
      <c r="C1342" s="19"/>
      <c r="D1342" s="22"/>
    </row>
    <row r="1343" spans="1:4" x14ac:dyDescent="0.3">
      <c r="A1343" s="18"/>
      <c r="B1343" s="19"/>
      <c r="C1343" s="19"/>
      <c r="D1343" s="22"/>
    </row>
    <row r="1344" spans="1:4" x14ac:dyDescent="0.3">
      <c r="A1344" s="18"/>
      <c r="B1344" s="19"/>
      <c r="C1344" s="19"/>
      <c r="D1344" s="22"/>
    </row>
    <row r="1345" spans="1:4" x14ac:dyDescent="0.3">
      <c r="A1345" s="18"/>
      <c r="B1345" s="19"/>
      <c r="C1345" s="19"/>
      <c r="D1345" s="22"/>
    </row>
    <row r="1346" spans="1:4" x14ac:dyDescent="0.3">
      <c r="A1346" s="18"/>
      <c r="B1346" s="19"/>
      <c r="C1346" s="19"/>
      <c r="D1346" s="22"/>
    </row>
    <row r="1347" spans="1:4" x14ac:dyDescent="0.3">
      <c r="A1347" s="18"/>
      <c r="B1347" s="19"/>
      <c r="C1347" s="19"/>
      <c r="D1347" s="22"/>
    </row>
    <row r="1348" spans="1:4" x14ac:dyDescent="0.3">
      <c r="A1348" s="18"/>
      <c r="B1348" s="19"/>
      <c r="C1348" s="19"/>
      <c r="D1348" s="22"/>
    </row>
    <row r="1349" spans="1:4" x14ac:dyDescent="0.3">
      <c r="A1349" s="18"/>
      <c r="B1349" s="19"/>
      <c r="C1349" s="19"/>
      <c r="D1349" s="22"/>
    </row>
    <row r="1350" spans="1:4" x14ac:dyDescent="0.3">
      <c r="A1350" s="18"/>
      <c r="B1350" s="19"/>
      <c r="C1350" s="19"/>
      <c r="D1350" s="22"/>
    </row>
    <row r="1351" spans="1:4" x14ac:dyDescent="0.3">
      <c r="A1351" s="18"/>
      <c r="B1351" s="19"/>
      <c r="C1351" s="19"/>
      <c r="D1351" s="22"/>
    </row>
    <row r="1352" spans="1:4" x14ac:dyDescent="0.3">
      <c r="A1352" s="18"/>
      <c r="B1352" s="19"/>
      <c r="C1352" s="19"/>
      <c r="D1352" s="22"/>
    </row>
    <row r="1353" spans="1:4" x14ac:dyDescent="0.3">
      <c r="A1353" s="18"/>
      <c r="B1353" s="19"/>
      <c r="C1353" s="19"/>
      <c r="D1353" s="22"/>
    </row>
    <row r="1354" spans="1:4" x14ac:dyDescent="0.3">
      <c r="A1354" s="18"/>
      <c r="B1354" s="19"/>
      <c r="C1354" s="19"/>
      <c r="D1354" s="22"/>
    </row>
    <row r="1355" spans="1:4" x14ac:dyDescent="0.3">
      <c r="A1355" s="18"/>
      <c r="B1355" s="19"/>
      <c r="C1355" s="19"/>
      <c r="D1355" s="22"/>
    </row>
    <row r="1356" spans="1:4" x14ac:dyDescent="0.3">
      <c r="A1356" s="18"/>
      <c r="B1356" s="19"/>
      <c r="C1356" s="19"/>
      <c r="D1356" s="22"/>
    </row>
    <row r="1357" spans="1:4" x14ac:dyDescent="0.3">
      <c r="A1357" s="18"/>
      <c r="B1357" s="19"/>
      <c r="C1357" s="19"/>
      <c r="D1357" s="22"/>
    </row>
    <row r="1358" spans="1:4" x14ac:dyDescent="0.3">
      <c r="A1358" s="18"/>
      <c r="B1358" s="19"/>
      <c r="C1358" s="19"/>
      <c r="D1358" s="22"/>
    </row>
    <row r="1359" spans="1:4" x14ac:dyDescent="0.3">
      <c r="A1359" s="18"/>
      <c r="B1359" s="19"/>
      <c r="C1359" s="19"/>
      <c r="D1359" s="22"/>
    </row>
    <row r="1360" spans="1:4" x14ac:dyDescent="0.3">
      <c r="A1360" s="18"/>
      <c r="B1360" s="19"/>
      <c r="C1360" s="19"/>
      <c r="D1360" s="22"/>
    </row>
    <row r="1361" spans="1:4" x14ac:dyDescent="0.3">
      <c r="A1361" s="18"/>
      <c r="B1361" s="19"/>
      <c r="C1361" s="19"/>
      <c r="D1361" s="22"/>
    </row>
    <row r="1362" spans="1:4" x14ac:dyDescent="0.3">
      <c r="A1362" s="18"/>
      <c r="B1362" s="19"/>
      <c r="C1362" s="19"/>
      <c r="D1362" s="22"/>
    </row>
    <row r="1363" spans="1:4" x14ac:dyDescent="0.3">
      <c r="A1363" s="18"/>
      <c r="B1363" s="19"/>
      <c r="C1363" s="19"/>
      <c r="D1363" s="22"/>
    </row>
    <row r="1364" spans="1:4" x14ac:dyDescent="0.3">
      <c r="A1364" s="18"/>
      <c r="B1364" s="19"/>
      <c r="C1364" s="19"/>
      <c r="D1364" s="22"/>
    </row>
    <row r="1365" spans="1:4" x14ac:dyDescent="0.3">
      <c r="A1365" s="18"/>
      <c r="B1365" s="19"/>
      <c r="C1365" s="19"/>
      <c r="D1365" s="22"/>
    </row>
    <row r="1366" spans="1:4" x14ac:dyDescent="0.3">
      <c r="A1366" s="18"/>
      <c r="B1366" s="19"/>
      <c r="C1366" s="19"/>
      <c r="D1366" s="22"/>
    </row>
    <row r="1367" spans="1:4" x14ac:dyDescent="0.3">
      <c r="A1367" s="18"/>
      <c r="B1367" s="19"/>
      <c r="C1367" s="19"/>
      <c r="D1367" s="22"/>
    </row>
    <row r="1368" spans="1:4" x14ac:dyDescent="0.3">
      <c r="A1368" s="18"/>
      <c r="B1368" s="19"/>
      <c r="C1368" s="19"/>
      <c r="D1368" s="22"/>
    </row>
    <row r="1369" spans="1:4" x14ac:dyDescent="0.3">
      <c r="A1369" s="18"/>
      <c r="B1369" s="19"/>
      <c r="C1369" s="19"/>
      <c r="D1369" s="22"/>
    </row>
    <row r="1370" spans="1:4" x14ac:dyDescent="0.3">
      <c r="A1370" s="18"/>
      <c r="B1370" s="19"/>
      <c r="C1370" s="19"/>
      <c r="D1370" s="22"/>
    </row>
    <row r="1371" spans="1:4" x14ac:dyDescent="0.3">
      <c r="A1371" s="18"/>
      <c r="B1371" s="19"/>
      <c r="C1371" s="19"/>
      <c r="D1371" s="22"/>
    </row>
    <row r="1372" spans="1:4" x14ac:dyDescent="0.3">
      <c r="A1372" s="18"/>
      <c r="B1372" s="19"/>
      <c r="C1372" s="19"/>
      <c r="D1372" s="22"/>
    </row>
    <row r="1373" spans="1:4" x14ac:dyDescent="0.3">
      <c r="A1373" s="18"/>
      <c r="B1373" s="19"/>
      <c r="C1373" s="19"/>
      <c r="D1373" s="22"/>
    </row>
    <row r="1374" spans="1:4" x14ac:dyDescent="0.3">
      <c r="A1374" s="18"/>
      <c r="B1374" s="19"/>
      <c r="C1374" s="19"/>
      <c r="D1374" s="22"/>
    </row>
    <row r="1375" spans="1:4" x14ac:dyDescent="0.3">
      <c r="A1375" s="18"/>
      <c r="B1375" s="19"/>
      <c r="C1375" s="19"/>
      <c r="D1375" s="22"/>
    </row>
    <row r="1376" spans="1:4" x14ac:dyDescent="0.3">
      <c r="A1376" s="18"/>
      <c r="B1376" s="19"/>
      <c r="C1376" s="19"/>
      <c r="D1376" s="22"/>
    </row>
    <row r="1377" spans="1:4" x14ac:dyDescent="0.3">
      <c r="A1377" s="18"/>
      <c r="B1377" s="19"/>
      <c r="C1377" s="19"/>
      <c r="D1377" s="22"/>
    </row>
    <row r="1378" spans="1:4" x14ac:dyDescent="0.3">
      <c r="A1378" s="18"/>
      <c r="B1378" s="19"/>
      <c r="C1378" s="19"/>
      <c r="D1378" s="22"/>
    </row>
    <row r="1379" spans="1:4" x14ac:dyDescent="0.3">
      <c r="A1379" s="18"/>
      <c r="B1379" s="19"/>
      <c r="C1379" s="19"/>
      <c r="D1379" s="22"/>
    </row>
    <row r="1380" spans="1:4" x14ac:dyDescent="0.3">
      <c r="A1380" s="18"/>
      <c r="B1380" s="19"/>
      <c r="C1380" s="19"/>
      <c r="D1380" s="22"/>
    </row>
    <row r="1381" spans="1:4" x14ac:dyDescent="0.3">
      <c r="A1381" s="18"/>
      <c r="B1381" s="19"/>
      <c r="C1381" s="19"/>
      <c r="D1381" s="22"/>
    </row>
    <row r="1382" spans="1:4" x14ac:dyDescent="0.3">
      <c r="A1382" s="18"/>
      <c r="B1382" s="19"/>
      <c r="C1382" s="19"/>
      <c r="D1382" s="22"/>
    </row>
    <row r="1383" spans="1:4" x14ac:dyDescent="0.3">
      <c r="A1383" s="18"/>
      <c r="B1383" s="19"/>
      <c r="C1383" s="19"/>
      <c r="D1383" s="22"/>
    </row>
    <row r="1384" spans="1:4" x14ac:dyDescent="0.3">
      <c r="A1384" s="18"/>
      <c r="B1384" s="19"/>
      <c r="C1384" s="19"/>
      <c r="D1384" s="22"/>
    </row>
    <row r="1385" spans="1:4" x14ac:dyDescent="0.3">
      <c r="A1385" s="18"/>
      <c r="B1385" s="19"/>
      <c r="C1385" s="19"/>
      <c r="D1385" s="22"/>
    </row>
    <row r="1386" spans="1:4" x14ac:dyDescent="0.3">
      <c r="A1386" s="18"/>
      <c r="B1386" s="19"/>
      <c r="C1386" s="19"/>
      <c r="D1386" s="22"/>
    </row>
    <row r="1387" spans="1:4" x14ac:dyDescent="0.3">
      <c r="A1387" s="18"/>
      <c r="B1387" s="19"/>
      <c r="C1387" s="19"/>
      <c r="D1387" s="22"/>
    </row>
    <row r="1388" spans="1:4" x14ac:dyDescent="0.3">
      <c r="A1388" s="18"/>
      <c r="B1388" s="19"/>
      <c r="C1388" s="19"/>
      <c r="D1388" s="22"/>
    </row>
    <row r="1389" spans="1:4" x14ac:dyDescent="0.3">
      <c r="A1389" s="18"/>
      <c r="B1389" s="19"/>
      <c r="C1389" s="19"/>
      <c r="D1389" s="22"/>
    </row>
    <row r="1390" spans="1:4" x14ac:dyDescent="0.3">
      <c r="A1390" s="18"/>
      <c r="B1390" s="19"/>
      <c r="C1390" s="19"/>
      <c r="D1390" s="22"/>
    </row>
    <row r="1391" spans="1:4" x14ac:dyDescent="0.3">
      <c r="A1391" s="18"/>
      <c r="B1391" s="19"/>
      <c r="C1391" s="19"/>
      <c r="D1391" s="22"/>
    </row>
    <row r="1392" spans="1:4" x14ac:dyDescent="0.3">
      <c r="A1392" s="18"/>
      <c r="B1392" s="19"/>
      <c r="C1392" s="19"/>
      <c r="D1392" s="22"/>
    </row>
    <row r="1393" spans="1:4" x14ac:dyDescent="0.3">
      <c r="A1393" s="18"/>
      <c r="B1393" s="19"/>
      <c r="C1393" s="19"/>
      <c r="D1393" s="22"/>
    </row>
    <row r="1394" spans="1:4" x14ac:dyDescent="0.3">
      <c r="A1394" s="18"/>
      <c r="B1394" s="19"/>
      <c r="C1394" s="19"/>
      <c r="D1394" s="22"/>
    </row>
    <row r="1395" spans="1:4" x14ac:dyDescent="0.3">
      <c r="A1395" s="18"/>
      <c r="B1395" s="19"/>
      <c r="C1395" s="19"/>
      <c r="D1395" s="22"/>
    </row>
    <row r="1396" spans="1:4" x14ac:dyDescent="0.3">
      <c r="A1396" s="18"/>
      <c r="B1396" s="19"/>
      <c r="C1396" s="19"/>
      <c r="D1396" s="22"/>
    </row>
    <row r="1397" spans="1:4" x14ac:dyDescent="0.3">
      <c r="A1397" s="18"/>
      <c r="B1397" s="19"/>
      <c r="C1397" s="19"/>
      <c r="D1397" s="22"/>
    </row>
    <row r="1398" spans="1:4" x14ac:dyDescent="0.3">
      <c r="A1398" s="18"/>
      <c r="B1398" s="19"/>
      <c r="C1398" s="19"/>
      <c r="D1398" s="22"/>
    </row>
    <row r="1399" spans="1:4" x14ac:dyDescent="0.3">
      <c r="A1399" s="18"/>
      <c r="B1399" s="19"/>
      <c r="C1399" s="19"/>
      <c r="D1399" s="22"/>
    </row>
    <row r="1400" spans="1:4" x14ac:dyDescent="0.3">
      <c r="A1400" s="18"/>
      <c r="B1400" s="19"/>
      <c r="C1400" s="19"/>
      <c r="D1400" s="22"/>
    </row>
    <row r="1401" spans="1:4" x14ac:dyDescent="0.3">
      <c r="A1401" s="18"/>
      <c r="B1401" s="19"/>
      <c r="C1401" s="19"/>
      <c r="D1401" s="22"/>
    </row>
    <row r="1402" spans="1:4" x14ac:dyDescent="0.3">
      <c r="A1402" s="18"/>
      <c r="B1402" s="19"/>
      <c r="C1402" s="19"/>
      <c r="D1402" s="22"/>
    </row>
    <row r="1403" spans="1:4" x14ac:dyDescent="0.3">
      <c r="A1403" s="18"/>
      <c r="B1403" s="19"/>
      <c r="C1403" s="19"/>
      <c r="D1403" s="22"/>
    </row>
    <row r="1404" spans="1:4" x14ac:dyDescent="0.3">
      <c r="A1404" s="18"/>
      <c r="B1404" s="19"/>
      <c r="C1404" s="19"/>
      <c r="D1404" s="22"/>
    </row>
    <row r="1405" spans="1:4" x14ac:dyDescent="0.3">
      <c r="A1405" s="18"/>
      <c r="B1405" s="19"/>
      <c r="C1405" s="19"/>
      <c r="D1405" s="22"/>
    </row>
    <row r="1406" spans="1:4" x14ac:dyDescent="0.3">
      <c r="A1406" s="18"/>
      <c r="B1406" s="19"/>
      <c r="C1406" s="19"/>
      <c r="D1406" s="22"/>
    </row>
    <row r="1407" spans="1:4" x14ac:dyDescent="0.3">
      <c r="A1407" s="18"/>
      <c r="B1407" s="19"/>
      <c r="C1407" s="19"/>
      <c r="D1407" s="22"/>
    </row>
    <row r="1408" spans="1:4" x14ac:dyDescent="0.3">
      <c r="A1408" s="18"/>
      <c r="B1408" s="19"/>
      <c r="C1408" s="19"/>
      <c r="D1408" s="22"/>
    </row>
    <row r="1409" spans="1:4" x14ac:dyDescent="0.3">
      <c r="A1409" s="18"/>
      <c r="B1409" s="19"/>
      <c r="C1409" s="19"/>
      <c r="D1409" s="22"/>
    </row>
    <row r="1410" spans="1:4" x14ac:dyDescent="0.3">
      <c r="A1410" s="18"/>
      <c r="B1410" s="19"/>
      <c r="C1410" s="19"/>
      <c r="D1410" s="22"/>
    </row>
    <row r="1411" spans="1:4" x14ac:dyDescent="0.3">
      <c r="A1411" s="18"/>
      <c r="B1411" s="19"/>
      <c r="C1411" s="19"/>
      <c r="D1411" s="22"/>
    </row>
    <row r="1412" spans="1:4" x14ac:dyDescent="0.3">
      <c r="A1412" s="18"/>
      <c r="B1412" s="19"/>
      <c r="C1412" s="19"/>
      <c r="D1412" s="22"/>
    </row>
    <row r="1413" spans="1:4" x14ac:dyDescent="0.3">
      <c r="A1413" s="18"/>
      <c r="B1413" s="19"/>
      <c r="C1413" s="19"/>
      <c r="D1413" s="22"/>
    </row>
    <row r="1414" spans="1:4" x14ac:dyDescent="0.3">
      <c r="A1414" s="18"/>
      <c r="B1414" s="19"/>
      <c r="C1414" s="19"/>
      <c r="D1414" s="22"/>
    </row>
    <row r="1415" spans="1:4" x14ac:dyDescent="0.3">
      <c r="A1415" s="18"/>
      <c r="B1415" s="19"/>
      <c r="C1415" s="19"/>
      <c r="D1415" s="22"/>
    </row>
    <row r="1416" spans="1:4" x14ac:dyDescent="0.3">
      <c r="A1416" s="18"/>
      <c r="B1416" s="19"/>
      <c r="C1416" s="19"/>
      <c r="D1416" s="22"/>
    </row>
    <row r="1417" spans="1:4" x14ac:dyDescent="0.3">
      <c r="A1417" s="18"/>
      <c r="B1417" s="19"/>
      <c r="C1417" s="19"/>
      <c r="D1417" s="22"/>
    </row>
    <row r="1418" spans="1:4" x14ac:dyDescent="0.3">
      <c r="A1418" s="18"/>
      <c r="B1418" s="19"/>
      <c r="C1418" s="19"/>
      <c r="D1418" s="22"/>
    </row>
    <row r="1419" spans="1:4" x14ac:dyDescent="0.3">
      <c r="A1419" s="18"/>
      <c r="B1419" s="19"/>
      <c r="C1419" s="19"/>
      <c r="D1419" s="22"/>
    </row>
    <row r="1420" spans="1:4" x14ac:dyDescent="0.3">
      <c r="A1420" s="18"/>
      <c r="B1420" s="19"/>
      <c r="C1420" s="19"/>
      <c r="D1420" s="22"/>
    </row>
    <row r="1421" spans="1:4" x14ac:dyDescent="0.3">
      <c r="A1421" s="18"/>
      <c r="B1421" s="19"/>
      <c r="C1421" s="19"/>
      <c r="D1421" s="22"/>
    </row>
    <row r="1422" spans="1:4" x14ac:dyDescent="0.3">
      <c r="A1422" s="18"/>
      <c r="B1422" s="19"/>
      <c r="C1422" s="19"/>
      <c r="D1422" s="22"/>
    </row>
    <row r="1423" spans="1:4" x14ac:dyDescent="0.3">
      <c r="A1423" s="18"/>
      <c r="B1423" s="19"/>
      <c r="C1423" s="19"/>
      <c r="D1423" s="22"/>
    </row>
    <row r="1424" spans="1:4" x14ac:dyDescent="0.3">
      <c r="A1424" s="18"/>
      <c r="B1424" s="19"/>
      <c r="C1424" s="19"/>
      <c r="D1424" s="22"/>
    </row>
    <row r="1425" spans="1:4" x14ac:dyDescent="0.3">
      <c r="A1425" s="18"/>
      <c r="B1425" s="19"/>
      <c r="C1425" s="19"/>
      <c r="D1425" s="22"/>
    </row>
    <row r="1426" spans="1:4" x14ac:dyDescent="0.3">
      <c r="A1426" s="18"/>
      <c r="B1426" s="19"/>
      <c r="C1426" s="19"/>
      <c r="D1426" s="22"/>
    </row>
    <row r="1427" spans="1:4" x14ac:dyDescent="0.3">
      <c r="A1427" s="18"/>
      <c r="B1427" s="19"/>
      <c r="C1427" s="19"/>
      <c r="D1427" s="22"/>
    </row>
    <row r="1428" spans="1:4" x14ac:dyDescent="0.3">
      <c r="A1428" s="18"/>
      <c r="B1428" s="19"/>
      <c r="C1428" s="19"/>
      <c r="D1428" s="22"/>
    </row>
    <row r="1429" spans="1:4" x14ac:dyDescent="0.3">
      <c r="A1429" s="18"/>
      <c r="B1429" s="19"/>
      <c r="C1429" s="19"/>
      <c r="D1429" s="22"/>
    </row>
    <row r="1430" spans="1:4" x14ac:dyDescent="0.3">
      <c r="A1430" s="18"/>
      <c r="B1430" s="19"/>
      <c r="C1430" s="19"/>
      <c r="D1430" s="22"/>
    </row>
    <row r="1431" spans="1:4" x14ac:dyDescent="0.3">
      <c r="A1431" s="18"/>
      <c r="B1431" s="19"/>
      <c r="C1431" s="19"/>
      <c r="D1431" s="22"/>
    </row>
    <row r="1432" spans="1:4" x14ac:dyDescent="0.3">
      <c r="A1432" s="18"/>
      <c r="B1432" s="19"/>
      <c r="C1432" s="19"/>
      <c r="D1432" s="22"/>
    </row>
    <row r="1433" spans="1:4" x14ac:dyDescent="0.3">
      <c r="A1433" s="18"/>
      <c r="B1433" s="19"/>
      <c r="C1433" s="19"/>
      <c r="D1433" s="22"/>
    </row>
    <row r="1434" spans="1:4" x14ac:dyDescent="0.3">
      <c r="A1434" s="18"/>
      <c r="B1434" s="19"/>
      <c r="C1434" s="19"/>
      <c r="D1434" s="22"/>
    </row>
    <row r="1435" spans="1:4" x14ac:dyDescent="0.3">
      <c r="A1435" s="18"/>
      <c r="B1435" s="19"/>
      <c r="C1435" s="19"/>
      <c r="D1435" s="22"/>
    </row>
    <row r="1436" spans="1:4" x14ac:dyDescent="0.3">
      <c r="A1436" s="18"/>
      <c r="B1436" s="19"/>
      <c r="C1436" s="19"/>
      <c r="D1436" s="22"/>
    </row>
    <row r="1437" spans="1:4" x14ac:dyDescent="0.3">
      <c r="A1437" s="18"/>
      <c r="B1437" s="19"/>
      <c r="C1437" s="19"/>
      <c r="D1437" s="22"/>
    </row>
    <row r="1438" spans="1:4" x14ac:dyDescent="0.3">
      <c r="A1438" s="18"/>
      <c r="B1438" s="19"/>
      <c r="C1438" s="19"/>
      <c r="D1438" s="22"/>
    </row>
    <row r="1439" spans="1:4" x14ac:dyDescent="0.3">
      <c r="A1439" s="18"/>
      <c r="B1439" s="19"/>
      <c r="C1439" s="19"/>
      <c r="D1439" s="22"/>
    </row>
    <row r="1440" spans="1:4" x14ac:dyDescent="0.3">
      <c r="A1440" s="18"/>
      <c r="B1440" s="19"/>
      <c r="C1440" s="19"/>
      <c r="D1440" s="22"/>
    </row>
    <row r="1441" spans="1:4" x14ac:dyDescent="0.3">
      <c r="A1441" s="18"/>
      <c r="B1441" s="19"/>
      <c r="C1441" s="19"/>
      <c r="D1441" s="22"/>
    </row>
    <row r="1442" spans="1:4" x14ac:dyDescent="0.3">
      <c r="A1442" s="18"/>
      <c r="B1442" s="19"/>
      <c r="C1442" s="19"/>
      <c r="D1442" s="22"/>
    </row>
    <row r="1443" spans="1:4" x14ac:dyDescent="0.3">
      <c r="A1443" s="18"/>
      <c r="B1443" s="19"/>
      <c r="C1443" s="19"/>
      <c r="D1443" s="22"/>
    </row>
    <row r="1444" spans="1:4" x14ac:dyDescent="0.3">
      <c r="A1444" s="18"/>
      <c r="B1444" s="19"/>
      <c r="C1444" s="19"/>
      <c r="D1444" s="22"/>
    </row>
    <row r="1445" spans="1:4" x14ac:dyDescent="0.3">
      <c r="A1445" s="18"/>
      <c r="B1445" s="19"/>
      <c r="C1445" s="19"/>
      <c r="D1445" s="22"/>
    </row>
    <row r="1446" spans="1:4" x14ac:dyDescent="0.3">
      <c r="A1446" s="18"/>
      <c r="B1446" s="19"/>
      <c r="C1446" s="19"/>
      <c r="D1446" s="22"/>
    </row>
    <row r="1447" spans="1:4" x14ac:dyDescent="0.3">
      <c r="A1447" s="18"/>
      <c r="B1447" s="19"/>
      <c r="C1447" s="19"/>
      <c r="D1447" s="22"/>
    </row>
    <row r="1448" spans="1:4" x14ac:dyDescent="0.3">
      <c r="A1448" s="18"/>
      <c r="B1448" s="19"/>
      <c r="C1448" s="19"/>
      <c r="D1448" s="22"/>
    </row>
    <row r="1449" spans="1:4" x14ac:dyDescent="0.3">
      <c r="A1449" s="18"/>
      <c r="B1449" s="19"/>
      <c r="C1449" s="19"/>
      <c r="D1449" s="22"/>
    </row>
    <row r="1450" spans="1:4" x14ac:dyDescent="0.3">
      <c r="A1450" s="18"/>
      <c r="B1450" s="19"/>
      <c r="C1450" s="19"/>
      <c r="D1450" s="22"/>
    </row>
    <row r="1451" spans="1:4" x14ac:dyDescent="0.3">
      <c r="A1451" s="18"/>
      <c r="B1451" s="19"/>
      <c r="C1451" s="19"/>
      <c r="D1451" s="22"/>
    </row>
    <row r="1452" spans="1:4" x14ac:dyDescent="0.3">
      <c r="A1452" s="18"/>
      <c r="B1452" s="19"/>
      <c r="C1452" s="19"/>
      <c r="D1452" s="22"/>
    </row>
    <row r="1453" spans="1:4" x14ac:dyDescent="0.3">
      <c r="A1453" s="18"/>
      <c r="B1453" s="19"/>
      <c r="C1453" s="19"/>
      <c r="D1453" s="22"/>
    </row>
    <row r="1454" spans="1:4" x14ac:dyDescent="0.3">
      <c r="A1454" s="18"/>
      <c r="B1454" s="19"/>
      <c r="C1454" s="19"/>
      <c r="D1454" s="22"/>
    </row>
    <row r="1455" spans="1:4" x14ac:dyDescent="0.3">
      <c r="A1455" s="18"/>
      <c r="B1455" s="19"/>
      <c r="C1455" s="19"/>
      <c r="D1455" s="22"/>
    </row>
    <row r="1456" spans="1:4" x14ac:dyDescent="0.3">
      <c r="A1456" s="18"/>
      <c r="B1456" s="19"/>
      <c r="C1456" s="19"/>
      <c r="D1456" s="22"/>
    </row>
    <row r="1457" spans="1:4" x14ac:dyDescent="0.3">
      <c r="A1457" s="18"/>
      <c r="B1457" s="19"/>
      <c r="C1457" s="19"/>
      <c r="D1457" s="22"/>
    </row>
    <row r="1458" spans="1:4" x14ac:dyDescent="0.3">
      <c r="A1458" s="18"/>
      <c r="B1458" s="19"/>
      <c r="C1458" s="19"/>
      <c r="D1458" s="22"/>
    </row>
    <row r="1459" spans="1:4" x14ac:dyDescent="0.3">
      <c r="A1459" s="18"/>
      <c r="B1459" s="19"/>
      <c r="C1459" s="19"/>
      <c r="D1459" s="22"/>
    </row>
    <row r="1460" spans="1:4" x14ac:dyDescent="0.3">
      <c r="A1460" s="18"/>
      <c r="B1460" s="19"/>
      <c r="C1460" s="19"/>
      <c r="D1460" s="22"/>
    </row>
    <row r="1461" spans="1:4" x14ac:dyDescent="0.3">
      <c r="A1461" s="18"/>
      <c r="B1461" s="19"/>
      <c r="C1461" s="19"/>
      <c r="D1461" s="22"/>
    </row>
    <row r="1462" spans="1:4" x14ac:dyDescent="0.3">
      <c r="A1462" s="18"/>
      <c r="B1462" s="19"/>
      <c r="C1462" s="19"/>
      <c r="D1462" s="22"/>
    </row>
    <row r="1463" spans="1:4" x14ac:dyDescent="0.3">
      <c r="A1463" s="18"/>
      <c r="B1463" s="19"/>
      <c r="C1463" s="19"/>
      <c r="D1463" s="22"/>
    </row>
    <row r="1464" spans="1:4" x14ac:dyDescent="0.3">
      <c r="A1464" s="18"/>
      <c r="B1464" s="19"/>
      <c r="C1464" s="19"/>
      <c r="D1464" s="22"/>
    </row>
    <row r="1465" spans="1:4" x14ac:dyDescent="0.3">
      <c r="A1465" s="18"/>
      <c r="B1465" s="19"/>
      <c r="C1465" s="19"/>
      <c r="D1465" s="22"/>
    </row>
    <row r="1466" spans="1:4" x14ac:dyDescent="0.3">
      <c r="A1466" s="18"/>
      <c r="B1466" s="19"/>
      <c r="C1466" s="19"/>
      <c r="D1466" s="22"/>
    </row>
    <row r="1467" spans="1:4" x14ac:dyDescent="0.3">
      <c r="A1467" s="18"/>
      <c r="B1467" s="19"/>
      <c r="C1467" s="19"/>
      <c r="D1467" s="22"/>
    </row>
    <row r="1468" spans="1:4" x14ac:dyDescent="0.3">
      <c r="A1468" s="18"/>
      <c r="B1468" s="19"/>
      <c r="C1468" s="19"/>
      <c r="D1468" s="22"/>
    </row>
    <row r="1469" spans="1:4" x14ac:dyDescent="0.3">
      <c r="A1469" s="18"/>
      <c r="B1469" s="19"/>
      <c r="C1469" s="19"/>
      <c r="D1469" s="22"/>
    </row>
    <row r="1470" spans="1:4" x14ac:dyDescent="0.3">
      <c r="A1470" s="18"/>
      <c r="B1470" s="19"/>
      <c r="C1470" s="19"/>
      <c r="D1470" s="22"/>
    </row>
    <row r="1471" spans="1:4" x14ac:dyDescent="0.3">
      <c r="A1471" s="18"/>
      <c r="B1471" s="19"/>
      <c r="C1471" s="19"/>
      <c r="D1471" s="22"/>
    </row>
    <row r="1472" spans="1:4" x14ac:dyDescent="0.3">
      <c r="A1472" s="18"/>
      <c r="B1472" s="19"/>
      <c r="C1472" s="19"/>
      <c r="D1472" s="22"/>
    </row>
    <row r="1473" spans="1:4" x14ac:dyDescent="0.3">
      <c r="A1473" s="18"/>
      <c r="B1473" s="19"/>
      <c r="C1473" s="19"/>
      <c r="D1473" s="22"/>
    </row>
    <row r="1474" spans="1:4" x14ac:dyDescent="0.3">
      <c r="A1474" s="18"/>
      <c r="B1474" s="19"/>
      <c r="C1474" s="19"/>
      <c r="D1474" s="22"/>
    </row>
    <row r="1475" spans="1:4" x14ac:dyDescent="0.3">
      <c r="A1475" s="18"/>
      <c r="B1475" s="19"/>
      <c r="C1475" s="19"/>
      <c r="D1475" s="22"/>
    </row>
    <row r="1476" spans="1:4" x14ac:dyDescent="0.3">
      <c r="A1476" s="18"/>
      <c r="B1476" s="19"/>
      <c r="C1476" s="19"/>
      <c r="D1476" s="22"/>
    </row>
    <row r="1477" spans="1:4" x14ac:dyDescent="0.3">
      <c r="A1477" s="18"/>
      <c r="B1477" s="19"/>
      <c r="C1477" s="19"/>
      <c r="D1477" s="22"/>
    </row>
    <row r="1478" spans="1:4" x14ac:dyDescent="0.3">
      <c r="A1478" s="18"/>
      <c r="B1478" s="19"/>
      <c r="C1478" s="19"/>
      <c r="D1478" s="22"/>
    </row>
    <row r="1479" spans="1:4" x14ac:dyDescent="0.3">
      <c r="A1479" s="18"/>
      <c r="B1479" s="19"/>
      <c r="C1479" s="19"/>
      <c r="D1479" s="22"/>
    </row>
    <row r="1480" spans="1:4" x14ac:dyDescent="0.3">
      <c r="A1480" s="18"/>
      <c r="B1480" s="19"/>
      <c r="C1480" s="19"/>
      <c r="D1480" s="22"/>
    </row>
    <row r="1481" spans="1:4" x14ac:dyDescent="0.3">
      <c r="A1481" s="18"/>
      <c r="B1481" s="19"/>
      <c r="C1481" s="19"/>
      <c r="D1481" s="22"/>
    </row>
    <row r="1482" spans="1:4" x14ac:dyDescent="0.3">
      <c r="A1482" s="18"/>
      <c r="B1482" s="19"/>
      <c r="C1482" s="19"/>
      <c r="D1482" s="22"/>
    </row>
    <row r="1483" spans="1:4" x14ac:dyDescent="0.3">
      <c r="A1483" s="18"/>
      <c r="B1483" s="19"/>
      <c r="C1483" s="19"/>
      <c r="D1483" s="22"/>
    </row>
    <row r="1484" spans="1:4" x14ac:dyDescent="0.3">
      <c r="A1484" s="18"/>
      <c r="B1484" s="19"/>
      <c r="C1484" s="19"/>
      <c r="D1484" s="22"/>
    </row>
    <row r="1485" spans="1:4" x14ac:dyDescent="0.3">
      <c r="A1485" s="18"/>
      <c r="B1485" s="19"/>
      <c r="C1485" s="19"/>
      <c r="D1485" s="22"/>
    </row>
    <row r="1486" spans="1:4" x14ac:dyDescent="0.3">
      <c r="A1486" s="18"/>
      <c r="B1486" s="19"/>
      <c r="C1486" s="19"/>
      <c r="D1486" s="22"/>
    </row>
    <row r="1487" spans="1:4" x14ac:dyDescent="0.3">
      <c r="A1487" s="18"/>
      <c r="B1487" s="19"/>
      <c r="C1487" s="19"/>
      <c r="D1487" s="22"/>
    </row>
    <row r="1488" spans="1:4" x14ac:dyDescent="0.3">
      <c r="A1488" s="18"/>
      <c r="B1488" s="19"/>
      <c r="C1488" s="19"/>
      <c r="D1488" s="22"/>
    </row>
    <row r="1489" spans="1:4" x14ac:dyDescent="0.3">
      <c r="A1489" s="18"/>
      <c r="B1489" s="19"/>
      <c r="C1489" s="19"/>
      <c r="D1489" s="22"/>
    </row>
    <row r="1490" spans="1:4" x14ac:dyDescent="0.3">
      <c r="A1490" s="18"/>
      <c r="B1490" s="19"/>
      <c r="C1490" s="19"/>
      <c r="D1490" s="22"/>
    </row>
    <row r="1491" spans="1:4" x14ac:dyDescent="0.3">
      <c r="A1491" s="18"/>
      <c r="B1491" s="19"/>
      <c r="C1491" s="19"/>
      <c r="D1491" s="22"/>
    </row>
    <row r="1492" spans="1:4" x14ac:dyDescent="0.3">
      <c r="A1492" s="18"/>
      <c r="B1492" s="19"/>
      <c r="C1492" s="19"/>
      <c r="D1492" s="22"/>
    </row>
    <row r="1493" spans="1:4" x14ac:dyDescent="0.3">
      <c r="A1493" s="18"/>
      <c r="B1493" s="19"/>
      <c r="C1493" s="19"/>
      <c r="D1493" s="22"/>
    </row>
    <row r="1494" spans="1:4" x14ac:dyDescent="0.3">
      <c r="A1494" s="18"/>
      <c r="B1494" s="19"/>
      <c r="C1494" s="19"/>
      <c r="D1494" s="22"/>
    </row>
    <row r="1495" spans="1:4" x14ac:dyDescent="0.3">
      <c r="A1495" s="18"/>
      <c r="B1495" s="19"/>
      <c r="C1495" s="19"/>
      <c r="D1495" s="22"/>
    </row>
    <row r="1496" spans="1:4" x14ac:dyDescent="0.3">
      <c r="A1496" s="18"/>
      <c r="B1496" s="19"/>
      <c r="C1496" s="19"/>
      <c r="D1496" s="22"/>
    </row>
    <row r="1497" spans="1:4" x14ac:dyDescent="0.3">
      <c r="A1497" s="18"/>
      <c r="B1497" s="19"/>
      <c r="C1497" s="19"/>
      <c r="D1497" s="22"/>
    </row>
    <row r="1498" spans="1:4" x14ac:dyDescent="0.3">
      <c r="A1498" s="18"/>
      <c r="B1498" s="19"/>
      <c r="C1498" s="19"/>
      <c r="D1498" s="22"/>
    </row>
    <row r="1499" spans="1:4" x14ac:dyDescent="0.3">
      <c r="A1499" s="18"/>
      <c r="B1499" s="19"/>
      <c r="C1499" s="19"/>
      <c r="D1499" s="22"/>
    </row>
    <row r="1500" spans="1:4" x14ac:dyDescent="0.3">
      <c r="A1500" s="18"/>
      <c r="B1500" s="19"/>
      <c r="C1500" s="19"/>
      <c r="D1500" s="22"/>
    </row>
    <row r="1501" spans="1:4" x14ac:dyDescent="0.3">
      <c r="A1501" s="18"/>
      <c r="B1501" s="19"/>
      <c r="C1501" s="19"/>
      <c r="D1501" s="22"/>
    </row>
    <row r="1502" spans="1:4" x14ac:dyDescent="0.3">
      <c r="A1502" s="18"/>
      <c r="B1502" s="19"/>
      <c r="C1502" s="19"/>
      <c r="D1502" s="22"/>
    </row>
    <row r="1503" spans="1:4" x14ac:dyDescent="0.3">
      <c r="A1503" s="18"/>
      <c r="B1503" s="19"/>
      <c r="C1503" s="19"/>
      <c r="D1503" s="22"/>
    </row>
    <row r="1504" spans="1:4" x14ac:dyDescent="0.3">
      <c r="A1504" s="18"/>
      <c r="B1504" s="19"/>
      <c r="C1504" s="19"/>
      <c r="D1504" s="22"/>
    </row>
    <row r="1505" spans="1:4" x14ac:dyDescent="0.3">
      <c r="A1505" s="18"/>
      <c r="B1505" s="19"/>
      <c r="C1505" s="19"/>
      <c r="D1505" s="22"/>
    </row>
    <row r="1506" spans="1:4" x14ac:dyDescent="0.3">
      <c r="A1506" s="18"/>
      <c r="B1506" s="19"/>
      <c r="C1506" s="19"/>
      <c r="D1506" s="22"/>
    </row>
    <row r="1507" spans="1:4" x14ac:dyDescent="0.3">
      <c r="A1507" s="18"/>
      <c r="B1507" s="19"/>
      <c r="C1507" s="19"/>
      <c r="D1507" s="22"/>
    </row>
    <row r="1508" spans="1:4" x14ac:dyDescent="0.3">
      <c r="A1508" s="18"/>
      <c r="B1508" s="19"/>
      <c r="C1508" s="19"/>
      <c r="D1508" s="22"/>
    </row>
    <row r="1509" spans="1:4" x14ac:dyDescent="0.3">
      <c r="A1509" s="18"/>
      <c r="B1509" s="19"/>
      <c r="C1509" s="19"/>
      <c r="D1509" s="22"/>
    </row>
    <row r="1510" spans="1:4" x14ac:dyDescent="0.3">
      <c r="A1510" s="18"/>
      <c r="B1510" s="19"/>
      <c r="C1510" s="19"/>
      <c r="D1510" s="22"/>
    </row>
    <row r="1511" spans="1:4" x14ac:dyDescent="0.3">
      <c r="A1511" s="18"/>
      <c r="B1511" s="19"/>
      <c r="C1511" s="19"/>
      <c r="D1511" s="22"/>
    </row>
    <row r="1512" spans="1:4" x14ac:dyDescent="0.3">
      <c r="A1512" s="18"/>
      <c r="B1512" s="19"/>
      <c r="C1512" s="19"/>
      <c r="D1512" s="22"/>
    </row>
    <row r="1513" spans="1:4" x14ac:dyDescent="0.3">
      <c r="A1513" s="18"/>
      <c r="B1513" s="19"/>
      <c r="C1513" s="19"/>
      <c r="D1513" s="22"/>
    </row>
    <row r="1514" spans="1:4" x14ac:dyDescent="0.3">
      <c r="A1514" s="18"/>
      <c r="B1514" s="19"/>
      <c r="C1514" s="19"/>
      <c r="D1514" s="22"/>
    </row>
    <row r="1515" spans="1:4" x14ac:dyDescent="0.3">
      <c r="A1515" s="18"/>
      <c r="B1515" s="19"/>
      <c r="C1515" s="19"/>
      <c r="D1515" s="22"/>
    </row>
    <row r="1516" spans="1:4" x14ac:dyDescent="0.3">
      <c r="A1516" s="18"/>
      <c r="B1516" s="19"/>
      <c r="C1516" s="19"/>
      <c r="D1516" s="22"/>
    </row>
    <row r="1517" spans="1:4" x14ac:dyDescent="0.3">
      <c r="A1517" s="18"/>
      <c r="B1517" s="19"/>
      <c r="C1517" s="19"/>
      <c r="D1517" s="22"/>
    </row>
    <row r="1518" spans="1:4" x14ac:dyDescent="0.3">
      <c r="A1518" s="18"/>
      <c r="B1518" s="19"/>
      <c r="C1518" s="19"/>
      <c r="D1518" s="22"/>
    </row>
    <row r="1519" spans="1:4" x14ac:dyDescent="0.3">
      <c r="A1519" s="18"/>
      <c r="B1519" s="19"/>
      <c r="C1519" s="19"/>
      <c r="D1519" s="22"/>
    </row>
    <row r="1520" spans="1:4" x14ac:dyDescent="0.3">
      <c r="A1520" s="18"/>
      <c r="B1520" s="19"/>
      <c r="C1520" s="19"/>
      <c r="D1520" s="22"/>
    </row>
    <row r="1521" spans="1:4" x14ac:dyDescent="0.3">
      <c r="A1521" s="18"/>
      <c r="B1521" s="19"/>
      <c r="C1521" s="19"/>
      <c r="D1521" s="22"/>
    </row>
    <row r="1522" spans="1:4" x14ac:dyDescent="0.3">
      <c r="A1522" s="18"/>
      <c r="B1522" s="19"/>
      <c r="C1522" s="19"/>
      <c r="D1522" s="22"/>
    </row>
    <row r="1523" spans="1:4" x14ac:dyDescent="0.3">
      <c r="A1523" s="18"/>
      <c r="B1523" s="19"/>
      <c r="C1523" s="19"/>
      <c r="D1523" s="22"/>
    </row>
    <row r="1524" spans="1:4" x14ac:dyDescent="0.3">
      <c r="A1524" s="18"/>
      <c r="B1524" s="19"/>
      <c r="C1524" s="19"/>
      <c r="D1524" s="22"/>
    </row>
    <row r="1525" spans="1:4" x14ac:dyDescent="0.3">
      <c r="A1525" s="18"/>
      <c r="B1525" s="19"/>
      <c r="C1525" s="19"/>
      <c r="D1525" s="22"/>
    </row>
    <row r="1526" spans="1:4" x14ac:dyDescent="0.3">
      <c r="A1526" s="18"/>
      <c r="B1526" s="19"/>
      <c r="C1526" s="19"/>
      <c r="D1526" s="22"/>
    </row>
    <row r="1527" spans="1:4" x14ac:dyDescent="0.3">
      <c r="A1527" s="18"/>
      <c r="B1527" s="19"/>
      <c r="C1527" s="19"/>
      <c r="D1527" s="22"/>
    </row>
    <row r="1528" spans="1:4" x14ac:dyDescent="0.3">
      <c r="A1528" s="18"/>
      <c r="B1528" s="19"/>
      <c r="C1528" s="19"/>
      <c r="D1528" s="22"/>
    </row>
    <row r="1529" spans="1:4" x14ac:dyDescent="0.3">
      <c r="A1529" s="18"/>
      <c r="B1529" s="19"/>
      <c r="C1529" s="19"/>
      <c r="D1529" s="22"/>
    </row>
    <row r="1530" spans="1:4" x14ac:dyDescent="0.3">
      <c r="A1530" s="18"/>
      <c r="B1530" s="19"/>
      <c r="C1530" s="19"/>
      <c r="D1530" s="22"/>
    </row>
    <row r="1531" spans="1:4" x14ac:dyDescent="0.3">
      <c r="A1531" s="18"/>
      <c r="B1531" s="19"/>
      <c r="C1531" s="19"/>
      <c r="D1531" s="22"/>
    </row>
    <row r="1532" spans="1:4" x14ac:dyDescent="0.3">
      <c r="A1532" s="18"/>
      <c r="B1532" s="19"/>
      <c r="C1532" s="19"/>
      <c r="D1532" s="22"/>
    </row>
    <row r="1533" spans="1:4" x14ac:dyDescent="0.3">
      <c r="A1533" s="18"/>
      <c r="B1533" s="19"/>
      <c r="C1533" s="19"/>
      <c r="D1533" s="22"/>
    </row>
    <row r="1534" spans="1:4" x14ac:dyDescent="0.3">
      <c r="A1534" s="18"/>
      <c r="B1534" s="19"/>
      <c r="C1534" s="19"/>
      <c r="D1534" s="22"/>
    </row>
    <row r="1535" spans="1:4" x14ac:dyDescent="0.3">
      <c r="A1535" s="18"/>
      <c r="B1535" s="19"/>
      <c r="C1535" s="19"/>
      <c r="D1535" s="22"/>
    </row>
    <row r="1536" spans="1:4" x14ac:dyDescent="0.3">
      <c r="A1536" s="18"/>
      <c r="B1536" s="19"/>
      <c r="C1536" s="19"/>
      <c r="D1536" s="22"/>
    </row>
    <row r="1537" spans="1:4" x14ac:dyDescent="0.3">
      <c r="A1537" s="18"/>
      <c r="B1537" s="19"/>
      <c r="C1537" s="19"/>
      <c r="D1537" s="22"/>
    </row>
    <row r="1538" spans="1:4" x14ac:dyDescent="0.3">
      <c r="A1538" s="18"/>
      <c r="B1538" s="19"/>
      <c r="C1538" s="19"/>
      <c r="D1538" s="22"/>
    </row>
    <row r="1539" spans="1:4" x14ac:dyDescent="0.3">
      <c r="A1539" s="18"/>
      <c r="B1539" s="19"/>
      <c r="C1539" s="19"/>
      <c r="D1539" s="22"/>
    </row>
    <row r="1540" spans="1:4" x14ac:dyDescent="0.3">
      <c r="A1540" s="18"/>
      <c r="B1540" s="19"/>
      <c r="C1540" s="19"/>
      <c r="D1540" s="22"/>
    </row>
    <row r="1541" spans="1:4" x14ac:dyDescent="0.3">
      <c r="A1541" s="18"/>
      <c r="B1541" s="19"/>
      <c r="C1541" s="19"/>
      <c r="D1541" s="22"/>
    </row>
    <row r="1542" spans="1:4" x14ac:dyDescent="0.3">
      <c r="A1542" s="18"/>
      <c r="B1542" s="19"/>
      <c r="C1542" s="19"/>
      <c r="D1542" s="22"/>
    </row>
    <row r="1543" spans="1:4" x14ac:dyDescent="0.3">
      <c r="A1543" s="18"/>
      <c r="B1543" s="19"/>
      <c r="C1543" s="19"/>
      <c r="D1543" s="22"/>
    </row>
    <row r="1544" spans="1:4" x14ac:dyDescent="0.3">
      <c r="A1544" s="18"/>
      <c r="B1544" s="19"/>
      <c r="C1544" s="19"/>
      <c r="D1544" s="22"/>
    </row>
    <row r="1545" spans="1:4" x14ac:dyDescent="0.3">
      <c r="A1545" s="18"/>
      <c r="B1545" s="19"/>
      <c r="C1545" s="19"/>
      <c r="D1545" s="22"/>
    </row>
    <row r="1546" spans="1:4" x14ac:dyDescent="0.3">
      <c r="A1546" s="18"/>
      <c r="B1546" s="19"/>
      <c r="C1546" s="19"/>
      <c r="D1546" s="22"/>
    </row>
    <row r="1547" spans="1:4" x14ac:dyDescent="0.3">
      <c r="A1547" s="18"/>
      <c r="B1547" s="19"/>
      <c r="C1547" s="19"/>
      <c r="D1547" s="22"/>
    </row>
    <row r="1548" spans="1:4" x14ac:dyDescent="0.3">
      <c r="A1548" s="18"/>
      <c r="B1548" s="19"/>
      <c r="C1548" s="19"/>
      <c r="D1548" s="22"/>
    </row>
    <row r="1549" spans="1:4" x14ac:dyDescent="0.3">
      <c r="A1549" s="18"/>
      <c r="B1549" s="19"/>
      <c r="C1549" s="19"/>
      <c r="D1549" s="22"/>
    </row>
    <row r="1550" spans="1:4" x14ac:dyDescent="0.3">
      <c r="A1550" s="18"/>
      <c r="B1550" s="19"/>
      <c r="C1550" s="19"/>
      <c r="D1550" s="22"/>
    </row>
    <row r="1551" spans="1:4" x14ac:dyDescent="0.3">
      <c r="A1551" s="18"/>
      <c r="B1551" s="19"/>
      <c r="C1551" s="19"/>
      <c r="D1551" s="22"/>
    </row>
    <row r="1552" spans="1:4" x14ac:dyDescent="0.3">
      <c r="A1552" s="18"/>
      <c r="B1552" s="19"/>
      <c r="C1552" s="19"/>
      <c r="D1552" s="22"/>
    </row>
    <row r="1553" spans="1:4" x14ac:dyDescent="0.3">
      <c r="A1553" s="18"/>
      <c r="B1553" s="19"/>
      <c r="C1553" s="19"/>
      <c r="D1553" s="22"/>
    </row>
    <row r="1554" spans="1:4" x14ac:dyDescent="0.3">
      <c r="A1554" s="18"/>
      <c r="B1554" s="19"/>
      <c r="C1554" s="19"/>
      <c r="D1554" s="22"/>
    </row>
    <row r="1555" spans="1:4" x14ac:dyDescent="0.3">
      <c r="A1555" s="18"/>
      <c r="B1555" s="19"/>
      <c r="C1555" s="19"/>
      <c r="D1555" s="22"/>
    </row>
    <row r="1556" spans="1:4" x14ac:dyDescent="0.3">
      <c r="A1556" s="18"/>
      <c r="B1556" s="19"/>
      <c r="C1556" s="19"/>
      <c r="D1556" s="22"/>
    </row>
    <row r="1557" spans="1:4" x14ac:dyDescent="0.3">
      <c r="A1557" s="18"/>
      <c r="B1557" s="19"/>
      <c r="C1557" s="19"/>
      <c r="D1557" s="22"/>
    </row>
    <row r="1558" spans="1:4" x14ac:dyDescent="0.3">
      <c r="A1558" s="18"/>
      <c r="B1558" s="19"/>
      <c r="C1558" s="19"/>
      <c r="D1558" s="22"/>
    </row>
    <row r="1559" spans="1:4" x14ac:dyDescent="0.3">
      <c r="A1559" s="18"/>
      <c r="B1559" s="19"/>
      <c r="C1559" s="19"/>
      <c r="D1559" s="22"/>
    </row>
    <row r="1560" spans="1:4" x14ac:dyDescent="0.3">
      <c r="A1560" s="18"/>
      <c r="B1560" s="19"/>
      <c r="C1560" s="19"/>
      <c r="D1560" s="22"/>
    </row>
    <row r="1561" spans="1:4" x14ac:dyDescent="0.3">
      <c r="A1561" s="18"/>
      <c r="B1561" s="19"/>
      <c r="C1561" s="19"/>
      <c r="D1561" s="22"/>
    </row>
    <row r="1562" spans="1:4" x14ac:dyDescent="0.3">
      <c r="A1562" s="18"/>
      <c r="B1562" s="19"/>
      <c r="C1562" s="19"/>
      <c r="D1562" s="22"/>
    </row>
    <row r="1563" spans="1:4" x14ac:dyDescent="0.3">
      <c r="A1563" s="18"/>
      <c r="B1563" s="19"/>
      <c r="C1563" s="19"/>
      <c r="D1563" s="22"/>
    </row>
    <row r="1564" spans="1:4" x14ac:dyDescent="0.3">
      <c r="A1564" s="18"/>
      <c r="B1564" s="19"/>
      <c r="C1564" s="19"/>
      <c r="D1564" s="22"/>
    </row>
    <row r="1565" spans="1:4" x14ac:dyDescent="0.3">
      <c r="A1565" s="18"/>
      <c r="B1565" s="19"/>
      <c r="C1565" s="19"/>
      <c r="D1565" s="22"/>
    </row>
    <row r="1566" spans="1:4" x14ac:dyDescent="0.3">
      <c r="A1566" s="18"/>
      <c r="B1566" s="19"/>
      <c r="C1566" s="19"/>
      <c r="D1566" s="22"/>
    </row>
    <row r="1567" spans="1:4" x14ac:dyDescent="0.3">
      <c r="A1567" s="18"/>
      <c r="B1567" s="19"/>
      <c r="C1567" s="19"/>
      <c r="D1567" s="22"/>
    </row>
    <row r="1568" spans="1:4" x14ac:dyDescent="0.3">
      <c r="A1568" s="18"/>
      <c r="B1568" s="19"/>
      <c r="C1568" s="19"/>
      <c r="D1568" s="22"/>
    </row>
    <row r="1569" spans="1:4" x14ac:dyDescent="0.3">
      <c r="A1569" s="18"/>
      <c r="B1569" s="19"/>
      <c r="C1569" s="19"/>
      <c r="D1569" s="22"/>
    </row>
    <row r="1570" spans="1:4" x14ac:dyDescent="0.3">
      <c r="A1570" s="18"/>
      <c r="B1570" s="19"/>
      <c r="C1570" s="19"/>
      <c r="D1570" s="22"/>
    </row>
    <row r="1571" spans="1:4" x14ac:dyDescent="0.3">
      <c r="A1571" s="18"/>
      <c r="B1571" s="19"/>
      <c r="C1571" s="19"/>
      <c r="D1571" s="22"/>
    </row>
    <row r="1572" spans="1:4" x14ac:dyDescent="0.3">
      <c r="A1572" s="18"/>
      <c r="B1572" s="19"/>
      <c r="C1572" s="19"/>
      <c r="D1572" s="22"/>
    </row>
    <row r="1573" spans="1:4" x14ac:dyDescent="0.3">
      <c r="A1573" s="18"/>
      <c r="B1573" s="19"/>
      <c r="C1573" s="19"/>
      <c r="D1573" s="22"/>
    </row>
    <row r="1574" spans="1:4" x14ac:dyDescent="0.3">
      <c r="A1574" s="18"/>
      <c r="B1574" s="19"/>
      <c r="C1574" s="19"/>
      <c r="D1574" s="22"/>
    </row>
    <row r="1575" spans="1:4" x14ac:dyDescent="0.3">
      <c r="A1575" s="18"/>
      <c r="B1575" s="19"/>
      <c r="C1575" s="19"/>
      <c r="D1575" s="22"/>
    </row>
    <row r="1576" spans="1:4" x14ac:dyDescent="0.3">
      <c r="A1576" s="18"/>
      <c r="B1576" s="19"/>
      <c r="C1576" s="19"/>
      <c r="D1576" s="22"/>
    </row>
    <row r="1577" spans="1:4" x14ac:dyDescent="0.3">
      <c r="A1577" s="18"/>
      <c r="B1577" s="19"/>
      <c r="C1577" s="19"/>
      <c r="D1577" s="22"/>
    </row>
    <row r="1578" spans="1:4" x14ac:dyDescent="0.3">
      <c r="A1578" s="18"/>
      <c r="B1578" s="19"/>
      <c r="C1578" s="19"/>
      <c r="D1578" s="22"/>
    </row>
    <row r="1579" spans="1:4" x14ac:dyDescent="0.3">
      <c r="A1579" s="18"/>
      <c r="B1579" s="19"/>
      <c r="C1579" s="19"/>
      <c r="D1579" s="22"/>
    </row>
    <row r="1580" spans="1:4" x14ac:dyDescent="0.3">
      <c r="A1580" s="18"/>
      <c r="B1580" s="19"/>
      <c r="C1580" s="19"/>
      <c r="D1580" s="22"/>
    </row>
    <row r="1581" spans="1:4" x14ac:dyDescent="0.3">
      <c r="A1581" s="18"/>
      <c r="B1581" s="19"/>
      <c r="C1581" s="19"/>
      <c r="D1581" s="22"/>
    </row>
    <row r="1582" spans="1:4" x14ac:dyDescent="0.3">
      <c r="A1582" s="18"/>
      <c r="B1582" s="19"/>
      <c r="C1582" s="19"/>
      <c r="D1582" s="22"/>
    </row>
    <row r="1583" spans="1:4" x14ac:dyDescent="0.3">
      <c r="A1583" s="18"/>
      <c r="B1583" s="19"/>
      <c r="C1583" s="19"/>
      <c r="D1583" s="22"/>
    </row>
    <row r="1584" spans="1:4" x14ac:dyDescent="0.3">
      <c r="A1584" s="18"/>
      <c r="B1584" s="19"/>
      <c r="C1584" s="19"/>
      <c r="D1584" s="22"/>
    </row>
    <row r="1585" spans="1:4" x14ac:dyDescent="0.3">
      <c r="A1585" s="18"/>
      <c r="B1585" s="19"/>
      <c r="C1585" s="19"/>
      <c r="D1585" s="22"/>
    </row>
    <row r="1586" spans="1:4" x14ac:dyDescent="0.3">
      <c r="A1586" s="18"/>
      <c r="B1586" s="19"/>
      <c r="C1586" s="19"/>
      <c r="D1586" s="22"/>
    </row>
    <row r="1587" spans="1:4" x14ac:dyDescent="0.3">
      <c r="A1587" s="18"/>
      <c r="B1587" s="19"/>
      <c r="C1587" s="19"/>
      <c r="D1587" s="22"/>
    </row>
    <row r="1588" spans="1:4" x14ac:dyDescent="0.3">
      <c r="A1588" s="18"/>
      <c r="B1588" s="19"/>
      <c r="C1588" s="19"/>
      <c r="D1588" s="22"/>
    </row>
    <row r="1589" spans="1:4" x14ac:dyDescent="0.3">
      <c r="A1589" s="18"/>
      <c r="B1589" s="19"/>
      <c r="C1589" s="19"/>
      <c r="D1589" s="22"/>
    </row>
    <row r="1590" spans="1:4" x14ac:dyDescent="0.3">
      <c r="A1590" s="18"/>
      <c r="B1590" s="19"/>
      <c r="C1590" s="19"/>
      <c r="D1590" s="22"/>
    </row>
    <row r="1591" spans="1:4" x14ac:dyDescent="0.3">
      <c r="A1591" s="18"/>
      <c r="B1591" s="19"/>
      <c r="C1591" s="19"/>
      <c r="D1591" s="22"/>
    </row>
    <row r="1592" spans="1:4" x14ac:dyDescent="0.3">
      <c r="A1592" s="18"/>
      <c r="B1592" s="19"/>
      <c r="C1592" s="19"/>
      <c r="D1592" s="22"/>
    </row>
    <row r="1593" spans="1:4" x14ac:dyDescent="0.3">
      <c r="A1593" s="18"/>
      <c r="B1593" s="19"/>
      <c r="C1593" s="19"/>
      <c r="D1593" s="22"/>
    </row>
    <row r="1594" spans="1:4" x14ac:dyDescent="0.3">
      <c r="A1594" s="18"/>
      <c r="B1594" s="19"/>
      <c r="C1594" s="19"/>
      <c r="D1594" s="22"/>
    </row>
    <row r="1595" spans="1:4" x14ac:dyDescent="0.3">
      <c r="A1595" s="18"/>
      <c r="B1595" s="19"/>
      <c r="C1595" s="19"/>
      <c r="D1595" s="22"/>
    </row>
    <row r="1596" spans="1:4" x14ac:dyDescent="0.3">
      <c r="A1596" s="18"/>
      <c r="B1596" s="19"/>
      <c r="C1596" s="19"/>
      <c r="D1596" s="22"/>
    </row>
    <row r="1597" spans="1:4" x14ac:dyDescent="0.3">
      <c r="A1597" s="18"/>
      <c r="B1597" s="19"/>
      <c r="C1597" s="19"/>
      <c r="D1597" s="22"/>
    </row>
    <row r="1598" spans="1:4" x14ac:dyDescent="0.3">
      <c r="A1598" s="18"/>
      <c r="B1598" s="19"/>
      <c r="C1598" s="19"/>
      <c r="D1598" s="22"/>
    </row>
    <row r="1599" spans="1:4" x14ac:dyDescent="0.3">
      <c r="A1599" s="18"/>
      <c r="B1599" s="19"/>
      <c r="C1599" s="19"/>
      <c r="D1599" s="22"/>
    </row>
    <row r="1600" spans="1:4" x14ac:dyDescent="0.3">
      <c r="A1600" s="18"/>
      <c r="B1600" s="19"/>
      <c r="C1600" s="19"/>
      <c r="D1600" s="22"/>
    </row>
    <row r="1601" spans="1:4" x14ac:dyDescent="0.3">
      <c r="A1601" s="18"/>
      <c r="B1601" s="19"/>
      <c r="C1601" s="19"/>
      <c r="D1601" s="22"/>
    </row>
    <row r="1602" spans="1:4" x14ac:dyDescent="0.3">
      <c r="A1602" s="18"/>
      <c r="B1602" s="19"/>
      <c r="C1602" s="19"/>
      <c r="D1602" s="22"/>
    </row>
    <row r="1603" spans="1:4" x14ac:dyDescent="0.3">
      <c r="A1603" s="18"/>
      <c r="B1603" s="19"/>
      <c r="C1603" s="19"/>
      <c r="D1603" s="22"/>
    </row>
    <row r="1604" spans="1:4" x14ac:dyDescent="0.3">
      <c r="A1604" s="18"/>
      <c r="B1604" s="19"/>
      <c r="C1604" s="19"/>
      <c r="D1604" s="22"/>
    </row>
    <row r="1605" spans="1:4" x14ac:dyDescent="0.3">
      <c r="A1605" s="18"/>
      <c r="B1605" s="19"/>
      <c r="C1605" s="19"/>
      <c r="D1605" s="22"/>
    </row>
    <row r="1606" spans="1:4" x14ac:dyDescent="0.3">
      <c r="A1606" s="18"/>
      <c r="B1606" s="19"/>
      <c r="C1606" s="19"/>
      <c r="D1606" s="22"/>
    </row>
    <row r="1607" spans="1:4" x14ac:dyDescent="0.3">
      <c r="A1607" s="18"/>
      <c r="B1607" s="19"/>
      <c r="C1607" s="19"/>
      <c r="D1607" s="22"/>
    </row>
    <row r="1608" spans="1:4" x14ac:dyDescent="0.3">
      <c r="A1608" s="18"/>
      <c r="B1608" s="19"/>
      <c r="C1608" s="19"/>
      <c r="D1608" s="22"/>
    </row>
    <row r="1609" spans="1:4" x14ac:dyDescent="0.3">
      <c r="A1609" s="18"/>
      <c r="B1609" s="19"/>
      <c r="C1609" s="19"/>
      <c r="D1609" s="22"/>
    </row>
    <row r="1610" spans="1:4" x14ac:dyDescent="0.3">
      <c r="A1610" s="18"/>
      <c r="B1610" s="19"/>
      <c r="C1610" s="19"/>
      <c r="D1610" s="22"/>
    </row>
    <row r="1611" spans="1:4" x14ac:dyDescent="0.3">
      <c r="A1611" s="18"/>
      <c r="B1611" s="19"/>
      <c r="C1611" s="19"/>
      <c r="D1611" s="22"/>
    </row>
    <row r="1612" spans="1:4" x14ac:dyDescent="0.3">
      <c r="A1612" s="18"/>
      <c r="B1612" s="19"/>
      <c r="C1612" s="19"/>
      <c r="D1612" s="22"/>
    </row>
    <row r="1613" spans="1:4" x14ac:dyDescent="0.3">
      <c r="A1613" s="18"/>
      <c r="B1613" s="19"/>
      <c r="C1613" s="19"/>
      <c r="D1613" s="22"/>
    </row>
    <row r="1614" spans="1:4" x14ac:dyDescent="0.3">
      <c r="A1614" s="18"/>
      <c r="B1614" s="19"/>
      <c r="C1614" s="19"/>
      <c r="D1614" s="22"/>
    </row>
    <row r="1615" spans="1:4" x14ac:dyDescent="0.3">
      <c r="A1615" s="18"/>
      <c r="B1615" s="19"/>
      <c r="C1615" s="19"/>
      <c r="D1615" s="22"/>
    </row>
    <row r="1616" spans="1:4" x14ac:dyDescent="0.3">
      <c r="A1616" s="18"/>
      <c r="B1616" s="19"/>
      <c r="C1616" s="19"/>
      <c r="D1616" s="22"/>
    </row>
    <row r="1617" spans="1:4" x14ac:dyDescent="0.3">
      <c r="A1617" s="18"/>
      <c r="B1617" s="19"/>
      <c r="C1617" s="19"/>
      <c r="D1617" s="22"/>
    </row>
    <row r="1618" spans="1:4" x14ac:dyDescent="0.3">
      <c r="A1618" s="18"/>
      <c r="B1618" s="19"/>
      <c r="C1618" s="19"/>
      <c r="D1618" s="22"/>
    </row>
    <row r="1619" spans="1:4" x14ac:dyDescent="0.3">
      <c r="A1619" s="18"/>
      <c r="B1619" s="19"/>
      <c r="C1619" s="19"/>
      <c r="D1619" s="22"/>
    </row>
    <row r="1620" spans="1:4" x14ac:dyDescent="0.3">
      <c r="A1620" s="18"/>
      <c r="B1620" s="19"/>
      <c r="C1620" s="19"/>
      <c r="D1620" s="22"/>
    </row>
    <row r="1621" spans="1:4" x14ac:dyDescent="0.3">
      <c r="A1621" s="18"/>
      <c r="B1621" s="19"/>
      <c r="C1621" s="19"/>
      <c r="D1621" s="22"/>
    </row>
    <row r="1622" spans="1:4" x14ac:dyDescent="0.3">
      <c r="A1622" s="18"/>
      <c r="B1622" s="19"/>
      <c r="C1622" s="19"/>
      <c r="D1622" s="22"/>
    </row>
    <row r="1623" spans="1:4" x14ac:dyDescent="0.3">
      <c r="A1623" s="18"/>
      <c r="B1623" s="19"/>
      <c r="C1623" s="19"/>
      <c r="D1623" s="22"/>
    </row>
    <row r="1624" spans="1:4" x14ac:dyDescent="0.3">
      <c r="A1624" s="18"/>
      <c r="B1624" s="19"/>
      <c r="C1624" s="19"/>
      <c r="D1624" s="22"/>
    </row>
    <row r="1625" spans="1:4" x14ac:dyDescent="0.3">
      <c r="A1625" s="18"/>
      <c r="B1625" s="19"/>
      <c r="C1625" s="19"/>
      <c r="D1625" s="22"/>
    </row>
    <row r="1626" spans="1:4" x14ac:dyDescent="0.3">
      <c r="A1626" s="18"/>
      <c r="B1626" s="19"/>
      <c r="C1626" s="19"/>
      <c r="D1626" s="22"/>
    </row>
    <row r="1627" spans="1:4" x14ac:dyDescent="0.3">
      <c r="A1627" s="18"/>
      <c r="B1627" s="19"/>
      <c r="C1627" s="19"/>
      <c r="D1627" s="22"/>
    </row>
    <row r="1628" spans="1:4" x14ac:dyDescent="0.3">
      <c r="A1628" s="18"/>
      <c r="B1628" s="19"/>
      <c r="C1628" s="19"/>
      <c r="D1628" s="22"/>
    </row>
    <row r="1629" spans="1:4" x14ac:dyDescent="0.3">
      <c r="A1629" s="18"/>
      <c r="B1629" s="19"/>
      <c r="C1629" s="19"/>
      <c r="D1629" s="22"/>
    </row>
    <row r="1630" spans="1:4" x14ac:dyDescent="0.3">
      <c r="A1630" s="18"/>
      <c r="B1630" s="19"/>
      <c r="C1630" s="19"/>
      <c r="D1630" s="22"/>
    </row>
    <row r="1631" spans="1:4" x14ac:dyDescent="0.3">
      <c r="A1631" s="18"/>
      <c r="B1631" s="19"/>
      <c r="C1631" s="19"/>
      <c r="D1631" s="22"/>
    </row>
    <row r="1632" spans="1:4" x14ac:dyDescent="0.3">
      <c r="A1632" s="18"/>
      <c r="B1632" s="19"/>
      <c r="C1632" s="19"/>
      <c r="D1632" s="22"/>
    </row>
    <row r="1633" spans="1:4" x14ac:dyDescent="0.3">
      <c r="A1633" s="18"/>
      <c r="B1633" s="19"/>
      <c r="C1633" s="19"/>
      <c r="D1633" s="22"/>
    </row>
    <row r="1634" spans="1:4" x14ac:dyDescent="0.3">
      <c r="A1634" s="18"/>
      <c r="B1634" s="19"/>
      <c r="C1634" s="19"/>
      <c r="D1634" s="22"/>
    </row>
    <row r="1635" spans="1:4" x14ac:dyDescent="0.3">
      <c r="A1635" s="18"/>
      <c r="B1635" s="19"/>
      <c r="C1635" s="19"/>
      <c r="D1635" s="22"/>
    </row>
    <row r="1636" spans="1:4" x14ac:dyDescent="0.3">
      <c r="A1636" s="18"/>
      <c r="B1636" s="19"/>
      <c r="C1636" s="19"/>
      <c r="D1636" s="22"/>
    </row>
    <row r="1637" spans="1:4" x14ac:dyDescent="0.3">
      <c r="A1637" s="18"/>
      <c r="B1637" s="19"/>
      <c r="C1637" s="19"/>
      <c r="D1637" s="22"/>
    </row>
    <row r="1638" spans="1:4" x14ac:dyDescent="0.3">
      <c r="A1638" s="18"/>
      <c r="B1638" s="19"/>
      <c r="C1638" s="19"/>
      <c r="D1638" s="22"/>
    </row>
    <row r="1639" spans="1:4" x14ac:dyDescent="0.3">
      <c r="A1639" s="18"/>
      <c r="B1639" s="19"/>
      <c r="C1639" s="19"/>
      <c r="D1639" s="22"/>
    </row>
    <row r="1640" spans="1:4" x14ac:dyDescent="0.3">
      <c r="A1640" s="18"/>
      <c r="B1640" s="19"/>
      <c r="C1640" s="19"/>
      <c r="D1640" s="22"/>
    </row>
    <row r="1641" spans="1:4" x14ac:dyDescent="0.3">
      <c r="A1641" s="18"/>
      <c r="B1641" s="19"/>
      <c r="C1641" s="19"/>
      <c r="D1641" s="22"/>
    </row>
    <row r="1642" spans="1:4" x14ac:dyDescent="0.3">
      <c r="A1642" s="18"/>
      <c r="B1642" s="19"/>
      <c r="C1642" s="19"/>
      <c r="D1642" s="22"/>
    </row>
    <row r="1643" spans="1:4" x14ac:dyDescent="0.3">
      <c r="A1643" s="18"/>
      <c r="B1643" s="19"/>
      <c r="C1643" s="19"/>
      <c r="D1643" s="22"/>
    </row>
    <row r="1644" spans="1:4" x14ac:dyDescent="0.3">
      <c r="A1644" s="18"/>
      <c r="B1644" s="19"/>
      <c r="C1644" s="19"/>
      <c r="D1644" s="22"/>
    </row>
    <row r="1645" spans="1:4" x14ac:dyDescent="0.3">
      <c r="A1645" s="18"/>
      <c r="B1645" s="19"/>
      <c r="C1645" s="19"/>
      <c r="D1645" s="22"/>
    </row>
    <row r="1646" spans="1:4" x14ac:dyDescent="0.3">
      <c r="A1646" s="18"/>
      <c r="B1646" s="19"/>
      <c r="C1646" s="19"/>
      <c r="D1646" s="22"/>
    </row>
    <row r="1647" spans="1:4" x14ac:dyDescent="0.3">
      <c r="A1647" s="18"/>
      <c r="B1647" s="19"/>
      <c r="C1647" s="19"/>
      <c r="D1647" s="22"/>
    </row>
    <row r="1648" spans="1:4" x14ac:dyDescent="0.3">
      <c r="A1648" s="18"/>
      <c r="B1648" s="19"/>
      <c r="C1648" s="19"/>
      <c r="D1648" s="22"/>
    </row>
    <row r="1649" spans="1:4" x14ac:dyDescent="0.3">
      <c r="A1649" s="18"/>
      <c r="B1649" s="19"/>
      <c r="C1649" s="19"/>
      <c r="D1649" s="22"/>
    </row>
    <row r="1650" spans="1:4" x14ac:dyDescent="0.3">
      <c r="A1650" s="18"/>
      <c r="B1650" s="19"/>
      <c r="C1650" s="19"/>
      <c r="D1650" s="22"/>
    </row>
    <row r="1651" spans="1:4" x14ac:dyDescent="0.3">
      <c r="A1651" s="18"/>
      <c r="B1651" s="19"/>
      <c r="C1651" s="19"/>
      <c r="D1651" s="22"/>
    </row>
    <row r="1652" spans="1:4" x14ac:dyDescent="0.3">
      <c r="A1652" s="18"/>
      <c r="B1652" s="19"/>
      <c r="C1652" s="19"/>
      <c r="D1652" s="22"/>
    </row>
    <row r="1653" spans="1:4" x14ac:dyDescent="0.3">
      <c r="A1653" s="18"/>
      <c r="B1653" s="19"/>
      <c r="C1653" s="19"/>
      <c r="D1653" s="22"/>
    </row>
    <row r="1654" spans="1:4" x14ac:dyDescent="0.3">
      <c r="A1654" s="18"/>
      <c r="B1654" s="19"/>
      <c r="C1654" s="19"/>
      <c r="D1654" s="22"/>
    </row>
    <row r="1655" spans="1:4" x14ac:dyDescent="0.3">
      <c r="A1655" s="18"/>
      <c r="B1655" s="19"/>
      <c r="C1655" s="19"/>
      <c r="D1655" s="22"/>
    </row>
    <row r="1656" spans="1:4" x14ac:dyDescent="0.3">
      <c r="A1656" s="18"/>
      <c r="B1656" s="19"/>
      <c r="C1656" s="19"/>
      <c r="D1656" s="22"/>
    </row>
    <row r="1657" spans="1:4" x14ac:dyDescent="0.3">
      <c r="A1657" s="18"/>
      <c r="B1657" s="19"/>
      <c r="C1657" s="19"/>
      <c r="D1657" s="22"/>
    </row>
    <row r="1658" spans="1:4" x14ac:dyDescent="0.3">
      <c r="A1658" s="18"/>
      <c r="B1658" s="19"/>
      <c r="C1658" s="19"/>
      <c r="D1658" s="22"/>
    </row>
    <row r="1659" spans="1:4" x14ac:dyDescent="0.3">
      <c r="A1659" s="18"/>
      <c r="B1659" s="19"/>
      <c r="C1659" s="19"/>
      <c r="D1659" s="22"/>
    </row>
    <row r="1660" spans="1:4" x14ac:dyDescent="0.3">
      <c r="A1660" s="18"/>
      <c r="B1660" s="19"/>
      <c r="C1660" s="19"/>
      <c r="D1660" s="22"/>
    </row>
    <row r="1661" spans="1:4" x14ac:dyDescent="0.3">
      <c r="A1661" s="18"/>
      <c r="B1661" s="19"/>
      <c r="C1661" s="19"/>
      <c r="D1661" s="22"/>
    </row>
    <row r="1662" spans="1:4" x14ac:dyDescent="0.3">
      <c r="A1662" s="18"/>
      <c r="B1662" s="19"/>
      <c r="C1662" s="19"/>
      <c r="D1662" s="22"/>
    </row>
    <row r="1663" spans="1:4" x14ac:dyDescent="0.3">
      <c r="A1663" s="18"/>
      <c r="B1663" s="19"/>
      <c r="C1663" s="19"/>
      <c r="D1663" s="22"/>
    </row>
    <row r="1664" spans="1:4" x14ac:dyDescent="0.3">
      <c r="A1664" s="18"/>
      <c r="B1664" s="19"/>
      <c r="C1664" s="19"/>
      <c r="D1664" s="22"/>
    </row>
    <row r="1665" spans="1:4" x14ac:dyDescent="0.3">
      <c r="A1665" s="18"/>
      <c r="B1665" s="19"/>
      <c r="C1665" s="19"/>
      <c r="D1665" s="22"/>
    </row>
    <row r="1666" spans="1:4" x14ac:dyDescent="0.3">
      <c r="A1666" s="18"/>
      <c r="B1666" s="19"/>
      <c r="C1666" s="19"/>
      <c r="D1666" s="22"/>
    </row>
    <row r="1667" spans="1:4" x14ac:dyDescent="0.3">
      <c r="A1667" s="18"/>
      <c r="B1667" s="19"/>
      <c r="C1667" s="19"/>
      <c r="D1667" s="22"/>
    </row>
    <row r="1668" spans="1:4" x14ac:dyDescent="0.3">
      <c r="A1668" s="18"/>
      <c r="B1668" s="19"/>
      <c r="C1668" s="19"/>
      <c r="D1668" s="22"/>
    </row>
    <row r="1669" spans="1:4" x14ac:dyDescent="0.3">
      <c r="A1669" s="18"/>
      <c r="B1669" s="19"/>
      <c r="C1669" s="19"/>
      <c r="D1669" s="22"/>
    </row>
    <row r="1670" spans="1:4" x14ac:dyDescent="0.3">
      <c r="A1670" s="18"/>
      <c r="B1670" s="19"/>
      <c r="C1670" s="19"/>
      <c r="D1670" s="22"/>
    </row>
    <row r="1671" spans="1:4" x14ac:dyDescent="0.3">
      <c r="A1671" s="18"/>
      <c r="B1671" s="19"/>
      <c r="C1671" s="19"/>
      <c r="D1671" s="22"/>
    </row>
    <row r="1672" spans="1:4" x14ac:dyDescent="0.3">
      <c r="A1672" s="18"/>
      <c r="B1672" s="19"/>
      <c r="C1672" s="19"/>
      <c r="D1672" s="22"/>
    </row>
    <row r="1673" spans="1:4" x14ac:dyDescent="0.3">
      <c r="A1673" s="18"/>
      <c r="B1673" s="19"/>
      <c r="C1673" s="19"/>
      <c r="D1673" s="22"/>
    </row>
    <row r="1674" spans="1:4" x14ac:dyDescent="0.3">
      <c r="A1674" s="18"/>
      <c r="B1674" s="19"/>
      <c r="C1674" s="19"/>
      <c r="D1674" s="22"/>
    </row>
    <row r="1675" spans="1:4" x14ac:dyDescent="0.3">
      <c r="A1675" s="18"/>
      <c r="B1675" s="19"/>
      <c r="C1675" s="19"/>
      <c r="D1675" s="22"/>
    </row>
    <row r="1676" spans="1:4" x14ac:dyDescent="0.3">
      <c r="A1676" s="18"/>
      <c r="B1676" s="19"/>
      <c r="C1676" s="19"/>
      <c r="D1676" s="22"/>
    </row>
    <row r="1677" spans="1:4" x14ac:dyDescent="0.3">
      <c r="A1677" s="18"/>
      <c r="B1677" s="19"/>
      <c r="C1677" s="19"/>
      <c r="D1677" s="22"/>
    </row>
    <row r="1678" spans="1:4" x14ac:dyDescent="0.3">
      <c r="A1678" s="18"/>
      <c r="B1678" s="19"/>
      <c r="C1678" s="19"/>
      <c r="D1678" s="22"/>
    </row>
    <row r="1679" spans="1:4" x14ac:dyDescent="0.3">
      <c r="A1679" s="18"/>
      <c r="B1679" s="19"/>
      <c r="C1679" s="19"/>
      <c r="D1679" s="22"/>
    </row>
    <row r="1680" spans="1:4" x14ac:dyDescent="0.3">
      <c r="A1680" s="18"/>
      <c r="B1680" s="19"/>
      <c r="C1680" s="19"/>
      <c r="D1680" s="22"/>
    </row>
    <row r="1681" spans="1:4" x14ac:dyDescent="0.3">
      <c r="A1681" s="18"/>
      <c r="B1681" s="19"/>
      <c r="C1681" s="19"/>
      <c r="D1681" s="22"/>
    </row>
    <row r="1682" spans="1:4" x14ac:dyDescent="0.3">
      <c r="A1682" s="18"/>
      <c r="B1682" s="19"/>
      <c r="C1682" s="19"/>
      <c r="D1682" s="22"/>
    </row>
    <row r="1683" spans="1:4" x14ac:dyDescent="0.3">
      <c r="A1683" s="18"/>
      <c r="B1683" s="19"/>
      <c r="C1683" s="19"/>
      <c r="D1683" s="22"/>
    </row>
    <row r="1684" spans="1:4" x14ac:dyDescent="0.3">
      <c r="A1684" s="18"/>
      <c r="B1684" s="19"/>
      <c r="C1684" s="19"/>
      <c r="D1684" s="22"/>
    </row>
    <row r="1685" spans="1:4" x14ac:dyDescent="0.3">
      <c r="A1685" s="18"/>
      <c r="B1685" s="19"/>
      <c r="C1685" s="19"/>
      <c r="D1685" s="22"/>
    </row>
    <row r="1686" spans="1:4" x14ac:dyDescent="0.3">
      <c r="A1686" s="18"/>
      <c r="B1686" s="19"/>
      <c r="C1686" s="19"/>
      <c r="D1686" s="22"/>
    </row>
    <row r="1687" spans="1:4" x14ac:dyDescent="0.3">
      <c r="A1687" s="18"/>
      <c r="B1687" s="19"/>
      <c r="C1687" s="19"/>
      <c r="D1687" s="22"/>
    </row>
    <row r="1688" spans="1:4" x14ac:dyDescent="0.3">
      <c r="A1688" s="18"/>
      <c r="B1688" s="19"/>
      <c r="C1688" s="19"/>
      <c r="D1688" s="22"/>
    </row>
    <row r="1689" spans="1:4" x14ac:dyDescent="0.3">
      <c r="A1689" s="18"/>
      <c r="B1689" s="19"/>
      <c r="C1689" s="19"/>
      <c r="D1689" s="22"/>
    </row>
    <row r="1690" spans="1:4" x14ac:dyDescent="0.3">
      <c r="A1690" s="18"/>
      <c r="B1690" s="19"/>
      <c r="C1690" s="19"/>
      <c r="D1690" s="22"/>
    </row>
    <row r="1691" spans="1:4" x14ac:dyDescent="0.3">
      <c r="A1691" s="18"/>
      <c r="B1691" s="19"/>
      <c r="C1691" s="19"/>
      <c r="D1691" s="22"/>
    </row>
    <row r="1692" spans="1:4" x14ac:dyDescent="0.3">
      <c r="A1692" s="18"/>
      <c r="B1692" s="19"/>
      <c r="C1692" s="19"/>
      <c r="D1692" s="22"/>
    </row>
    <row r="1693" spans="1:4" x14ac:dyDescent="0.3">
      <c r="A1693" s="18"/>
      <c r="B1693" s="19"/>
      <c r="C1693" s="19"/>
      <c r="D1693" s="22"/>
    </row>
    <row r="1694" spans="1:4" x14ac:dyDescent="0.3">
      <c r="A1694" s="18"/>
      <c r="B1694" s="19"/>
      <c r="C1694" s="19"/>
      <c r="D1694" s="22"/>
    </row>
    <row r="1695" spans="1:4" x14ac:dyDescent="0.3">
      <c r="A1695" s="18"/>
      <c r="B1695" s="19"/>
      <c r="C1695" s="19"/>
      <c r="D1695" s="22"/>
    </row>
    <row r="1696" spans="1:4" x14ac:dyDescent="0.3">
      <c r="A1696" s="18"/>
      <c r="B1696" s="19"/>
      <c r="C1696" s="19"/>
      <c r="D1696" s="22"/>
    </row>
    <row r="1697" spans="1:4" x14ac:dyDescent="0.3">
      <c r="A1697" s="18"/>
      <c r="B1697" s="19"/>
      <c r="C1697" s="19"/>
      <c r="D1697" s="22"/>
    </row>
    <row r="1698" spans="1:4" x14ac:dyDescent="0.3">
      <c r="A1698" s="18"/>
      <c r="B1698" s="19"/>
      <c r="C1698" s="19"/>
      <c r="D1698" s="22"/>
    </row>
    <row r="1699" spans="1:4" x14ac:dyDescent="0.3">
      <c r="A1699" s="18"/>
      <c r="B1699" s="19"/>
      <c r="C1699" s="19"/>
      <c r="D1699" s="22"/>
    </row>
    <row r="1700" spans="1:4" x14ac:dyDescent="0.3">
      <c r="A1700" s="18"/>
      <c r="B1700" s="19"/>
      <c r="C1700" s="19"/>
      <c r="D1700" s="22"/>
    </row>
    <row r="1701" spans="1:4" x14ac:dyDescent="0.3">
      <c r="A1701" s="18"/>
      <c r="B1701" s="19"/>
      <c r="C1701" s="19"/>
      <c r="D1701" s="22"/>
    </row>
    <row r="1702" spans="1:4" x14ac:dyDescent="0.3">
      <c r="A1702" s="18"/>
      <c r="B1702" s="19"/>
      <c r="C1702" s="19"/>
      <c r="D1702" s="22"/>
    </row>
    <row r="1703" spans="1:4" x14ac:dyDescent="0.3">
      <c r="A1703" s="18"/>
      <c r="B1703" s="19"/>
      <c r="C1703" s="19"/>
      <c r="D1703" s="22"/>
    </row>
    <row r="1704" spans="1:4" x14ac:dyDescent="0.3">
      <c r="A1704" s="18"/>
      <c r="B1704" s="19"/>
      <c r="C1704" s="19"/>
      <c r="D1704" s="22"/>
    </row>
    <row r="1705" spans="1:4" x14ac:dyDescent="0.3">
      <c r="A1705" s="18"/>
      <c r="B1705" s="19"/>
      <c r="C1705" s="19"/>
      <c r="D1705" s="22"/>
    </row>
    <row r="1706" spans="1:4" x14ac:dyDescent="0.3">
      <c r="A1706" s="18"/>
      <c r="B1706" s="19"/>
      <c r="C1706" s="19"/>
      <c r="D1706" s="22"/>
    </row>
    <row r="1707" spans="1:4" x14ac:dyDescent="0.3">
      <c r="A1707" s="18"/>
      <c r="B1707" s="19"/>
      <c r="C1707" s="19"/>
      <c r="D1707" s="22"/>
    </row>
    <row r="1708" spans="1:4" x14ac:dyDescent="0.3">
      <c r="A1708" s="18"/>
      <c r="B1708" s="19"/>
      <c r="C1708" s="19"/>
      <c r="D1708" s="22"/>
    </row>
    <row r="1709" spans="1:4" x14ac:dyDescent="0.3">
      <c r="A1709" s="18"/>
      <c r="B1709" s="19"/>
      <c r="C1709" s="19"/>
      <c r="D1709" s="22"/>
    </row>
    <row r="1710" spans="1:4" x14ac:dyDescent="0.3">
      <c r="A1710" s="18"/>
      <c r="B1710" s="19"/>
      <c r="C1710" s="19"/>
      <c r="D1710" s="22"/>
    </row>
    <row r="1711" spans="1:4" x14ac:dyDescent="0.3">
      <c r="A1711" s="18"/>
      <c r="B1711" s="19"/>
      <c r="C1711" s="19"/>
      <c r="D1711" s="22"/>
    </row>
    <row r="1712" spans="1:4" x14ac:dyDescent="0.3">
      <c r="A1712" s="18"/>
      <c r="B1712" s="19"/>
      <c r="C1712" s="19"/>
      <c r="D1712" s="22"/>
    </row>
    <row r="1713" spans="1:4" x14ac:dyDescent="0.3">
      <c r="A1713" s="18"/>
      <c r="B1713" s="19"/>
      <c r="C1713" s="19"/>
      <c r="D1713" s="22"/>
    </row>
    <row r="1714" spans="1:4" x14ac:dyDescent="0.3">
      <c r="A1714" s="18"/>
      <c r="B1714" s="19"/>
      <c r="C1714" s="19"/>
      <c r="D1714" s="22"/>
    </row>
    <row r="1715" spans="1:4" x14ac:dyDescent="0.3">
      <c r="A1715" s="18"/>
      <c r="B1715" s="19"/>
      <c r="C1715" s="19"/>
      <c r="D1715" s="22"/>
    </row>
    <row r="1716" spans="1:4" x14ac:dyDescent="0.3">
      <c r="A1716" s="18"/>
      <c r="B1716" s="19"/>
      <c r="C1716" s="19"/>
      <c r="D1716" s="22"/>
    </row>
    <row r="1717" spans="1:4" x14ac:dyDescent="0.3">
      <c r="A1717" s="18"/>
      <c r="B1717" s="19"/>
      <c r="C1717" s="19"/>
      <c r="D1717" s="22"/>
    </row>
    <row r="1718" spans="1:4" x14ac:dyDescent="0.3">
      <c r="A1718" s="18"/>
      <c r="B1718" s="19"/>
      <c r="C1718" s="19"/>
      <c r="D1718" s="22"/>
    </row>
    <row r="1719" spans="1:4" x14ac:dyDescent="0.3">
      <c r="A1719" s="18"/>
      <c r="B1719" s="19"/>
      <c r="C1719" s="19"/>
      <c r="D1719" s="22"/>
    </row>
    <row r="1720" spans="1:4" x14ac:dyDescent="0.3">
      <c r="A1720" s="18"/>
      <c r="B1720" s="19"/>
      <c r="C1720" s="19"/>
      <c r="D1720" s="22"/>
    </row>
    <row r="1721" spans="1:4" x14ac:dyDescent="0.3">
      <c r="A1721" s="18"/>
      <c r="B1721" s="19"/>
      <c r="C1721" s="19"/>
      <c r="D1721" s="22"/>
    </row>
    <row r="1722" spans="1:4" x14ac:dyDescent="0.3">
      <c r="A1722" s="18"/>
      <c r="B1722" s="19"/>
      <c r="C1722" s="19"/>
      <c r="D1722" s="22"/>
    </row>
    <row r="1723" spans="1:4" x14ac:dyDescent="0.3">
      <c r="A1723" s="18"/>
      <c r="B1723" s="19"/>
      <c r="C1723" s="19"/>
      <c r="D1723" s="22"/>
    </row>
    <row r="1724" spans="1:4" x14ac:dyDescent="0.3">
      <c r="A1724" s="18"/>
      <c r="B1724" s="19"/>
      <c r="C1724" s="19"/>
      <c r="D1724" s="22"/>
    </row>
    <row r="1725" spans="1:4" x14ac:dyDescent="0.3">
      <c r="A1725" s="18"/>
      <c r="B1725" s="19"/>
      <c r="C1725" s="19"/>
      <c r="D1725" s="22"/>
    </row>
    <row r="1726" spans="1:4" x14ac:dyDescent="0.3">
      <c r="A1726" s="18"/>
      <c r="B1726" s="19"/>
      <c r="C1726" s="19"/>
      <c r="D1726" s="22"/>
    </row>
    <row r="1727" spans="1:4" x14ac:dyDescent="0.3">
      <c r="A1727" s="18"/>
      <c r="B1727" s="19"/>
      <c r="C1727" s="19"/>
      <c r="D1727" s="22"/>
    </row>
    <row r="1728" spans="1:4" x14ac:dyDescent="0.3">
      <c r="A1728" s="18"/>
      <c r="B1728" s="19"/>
      <c r="C1728" s="19"/>
      <c r="D1728" s="22"/>
    </row>
    <row r="1729" spans="1:4" x14ac:dyDescent="0.3">
      <c r="A1729" s="18"/>
      <c r="B1729" s="19"/>
      <c r="C1729" s="19"/>
      <c r="D1729" s="22"/>
    </row>
    <row r="1730" spans="1:4" x14ac:dyDescent="0.3">
      <c r="A1730" s="18"/>
      <c r="B1730" s="19"/>
      <c r="C1730" s="19"/>
      <c r="D1730" s="22"/>
    </row>
    <row r="1731" spans="1:4" x14ac:dyDescent="0.3">
      <c r="A1731" s="18"/>
      <c r="B1731" s="19"/>
      <c r="C1731" s="19"/>
      <c r="D1731" s="22"/>
    </row>
    <row r="1732" spans="1:4" x14ac:dyDescent="0.3">
      <c r="A1732" s="18"/>
      <c r="B1732" s="19"/>
      <c r="C1732" s="19"/>
      <c r="D1732" s="22"/>
    </row>
    <row r="1733" spans="1:4" x14ac:dyDescent="0.3">
      <c r="A1733" s="18"/>
      <c r="B1733" s="19"/>
      <c r="C1733" s="19"/>
      <c r="D1733" s="22"/>
    </row>
    <row r="1734" spans="1:4" x14ac:dyDescent="0.3">
      <c r="A1734" s="18"/>
      <c r="B1734" s="19"/>
      <c r="C1734" s="19"/>
      <c r="D1734" s="22"/>
    </row>
    <row r="1735" spans="1:4" x14ac:dyDescent="0.3">
      <c r="A1735" s="18"/>
      <c r="B1735" s="19"/>
      <c r="C1735" s="19"/>
      <c r="D1735" s="22"/>
    </row>
    <row r="1736" spans="1:4" x14ac:dyDescent="0.3">
      <c r="A1736" s="18"/>
      <c r="B1736" s="19"/>
      <c r="C1736" s="19"/>
      <c r="D1736" s="22"/>
    </row>
    <row r="1737" spans="1:4" x14ac:dyDescent="0.3">
      <c r="A1737" s="18"/>
      <c r="B1737" s="19"/>
      <c r="C1737" s="19"/>
      <c r="D1737" s="22"/>
    </row>
    <row r="1738" spans="1:4" x14ac:dyDescent="0.3">
      <c r="A1738" s="18"/>
      <c r="B1738" s="19"/>
      <c r="C1738" s="19"/>
      <c r="D1738" s="22"/>
    </row>
    <row r="1739" spans="1:4" x14ac:dyDescent="0.3">
      <c r="A1739" s="18"/>
      <c r="B1739" s="19"/>
      <c r="C1739" s="19"/>
      <c r="D1739" s="22"/>
    </row>
    <row r="1740" spans="1:4" x14ac:dyDescent="0.3">
      <c r="A1740" s="18"/>
      <c r="B1740" s="19"/>
      <c r="C1740" s="19"/>
      <c r="D1740" s="22"/>
    </row>
    <row r="1741" spans="1:4" x14ac:dyDescent="0.3">
      <c r="A1741" s="18"/>
      <c r="B1741" s="19"/>
      <c r="C1741" s="19"/>
      <c r="D1741" s="22"/>
    </row>
    <row r="1742" spans="1:4" x14ac:dyDescent="0.3">
      <c r="A1742" s="18"/>
      <c r="B1742" s="19"/>
      <c r="C1742" s="19"/>
      <c r="D1742" s="22"/>
    </row>
    <row r="1743" spans="1:4" x14ac:dyDescent="0.3">
      <c r="A1743" s="18"/>
      <c r="B1743" s="19"/>
      <c r="C1743" s="19"/>
      <c r="D1743" s="22"/>
    </row>
    <row r="1744" spans="1:4" x14ac:dyDescent="0.3">
      <c r="A1744" s="18"/>
      <c r="B1744" s="19"/>
      <c r="C1744" s="19"/>
      <c r="D1744" s="22"/>
    </row>
    <row r="1745" spans="1:4" x14ac:dyDescent="0.3">
      <c r="A1745" s="18"/>
      <c r="B1745" s="19"/>
      <c r="C1745" s="19"/>
      <c r="D1745" s="22"/>
    </row>
    <row r="1746" spans="1:4" x14ac:dyDescent="0.3">
      <c r="A1746" s="18"/>
      <c r="B1746" s="19"/>
      <c r="C1746" s="19"/>
      <c r="D1746" s="22"/>
    </row>
    <row r="1747" spans="1:4" x14ac:dyDescent="0.3">
      <c r="A1747" s="18"/>
      <c r="B1747" s="19"/>
      <c r="C1747" s="19"/>
      <c r="D1747" s="22"/>
    </row>
    <row r="1748" spans="1:4" x14ac:dyDescent="0.3">
      <c r="A1748" s="18"/>
      <c r="B1748" s="19"/>
      <c r="C1748" s="19"/>
      <c r="D1748" s="22"/>
    </row>
    <row r="1749" spans="1:4" x14ac:dyDescent="0.3">
      <c r="A1749" s="18"/>
      <c r="B1749" s="19"/>
      <c r="C1749" s="19"/>
      <c r="D1749" s="22"/>
    </row>
    <row r="1750" spans="1:4" x14ac:dyDescent="0.3">
      <c r="A1750" s="18"/>
      <c r="B1750" s="19"/>
      <c r="C1750" s="19"/>
      <c r="D1750" s="22"/>
    </row>
    <row r="1751" spans="1:4" x14ac:dyDescent="0.3">
      <c r="A1751" s="18"/>
      <c r="B1751" s="19"/>
      <c r="C1751" s="19"/>
      <c r="D1751" s="22"/>
    </row>
    <row r="1752" spans="1:4" x14ac:dyDescent="0.3">
      <c r="A1752" s="18"/>
      <c r="B1752" s="19"/>
      <c r="C1752" s="19"/>
      <c r="D1752" s="22"/>
    </row>
    <row r="1753" spans="1:4" x14ac:dyDescent="0.3">
      <c r="A1753" s="18"/>
      <c r="B1753" s="19"/>
      <c r="C1753" s="19"/>
      <c r="D1753" s="22"/>
    </row>
    <row r="1754" spans="1:4" x14ac:dyDescent="0.3">
      <c r="A1754" s="18"/>
      <c r="B1754" s="19"/>
      <c r="C1754" s="19"/>
      <c r="D1754" s="22"/>
    </row>
    <row r="1755" spans="1:4" x14ac:dyDescent="0.3">
      <c r="A1755" s="18"/>
      <c r="B1755" s="19"/>
      <c r="C1755" s="19"/>
      <c r="D1755" s="22"/>
    </row>
    <row r="1756" spans="1:4" x14ac:dyDescent="0.3">
      <c r="A1756" s="18"/>
      <c r="B1756" s="19"/>
      <c r="C1756" s="19"/>
      <c r="D1756" s="22"/>
    </row>
    <row r="1757" spans="1:4" x14ac:dyDescent="0.3">
      <c r="A1757" s="18"/>
      <c r="B1757" s="19"/>
      <c r="C1757" s="19"/>
      <c r="D1757" s="22"/>
    </row>
    <row r="1758" spans="1:4" x14ac:dyDescent="0.3">
      <c r="A1758" s="18"/>
      <c r="B1758" s="19"/>
      <c r="C1758" s="19"/>
      <c r="D1758" s="22"/>
    </row>
    <row r="1759" spans="1:4" x14ac:dyDescent="0.3">
      <c r="A1759" s="18"/>
      <c r="B1759" s="19"/>
      <c r="C1759" s="19"/>
      <c r="D1759" s="22"/>
    </row>
    <row r="1760" spans="1:4" x14ac:dyDescent="0.3">
      <c r="A1760" s="18"/>
      <c r="B1760" s="19"/>
      <c r="C1760" s="19"/>
      <c r="D1760" s="22"/>
    </row>
    <row r="1761" spans="1:4" x14ac:dyDescent="0.3">
      <c r="A1761" s="18"/>
      <c r="B1761" s="19"/>
      <c r="C1761" s="19"/>
      <c r="D1761" s="22"/>
    </row>
    <row r="1762" spans="1:4" x14ac:dyDescent="0.3">
      <c r="A1762" s="18"/>
      <c r="B1762" s="19"/>
      <c r="C1762" s="19"/>
      <c r="D1762" s="22"/>
    </row>
    <row r="1763" spans="1:4" x14ac:dyDescent="0.3">
      <c r="A1763" s="18"/>
      <c r="B1763" s="19"/>
      <c r="C1763" s="19"/>
      <c r="D1763" s="22"/>
    </row>
    <row r="1764" spans="1:4" x14ac:dyDescent="0.3">
      <c r="A1764" s="18"/>
      <c r="B1764" s="19"/>
      <c r="C1764" s="19"/>
      <c r="D1764" s="22"/>
    </row>
    <row r="1765" spans="1:4" x14ac:dyDescent="0.3">
      <c r="A1765" s="18"/>
      <c r="B1765" s="19"/>
      <c r="C1765" s="19"/>
      <c r="D1765" s="22"/>
    </row>
    <row r="1766" spans="1:4" x14ac:dyDescent="0.3">
      <c r="A1766" s="18"/>
      <c r="B1766" s="19"/>
      <c r="C1766" s="19"/>
      <c r="D1766" s="22"/>
    </row>
    <row r="1767" spans="1:4" x14ac:dyDescent="0.3">
      <c r="A1767" s="18"/>
      <c r="B1767" s="19"/>
      <c r="C1767" s="19"/>
      <c r="D1767" s="22"/>
    </row>
    <row r="1768" spans="1:4" x14ac:dyDescent="0.3">
      <c r="A1768" s="18"/>
      <c r="B1768" s="19"/>
      <c r="C1768" s="19"/>
      <c r="D1768" s="22"/>
    </row>
    <row r="1769" spans="1:4" x14ac:dyDescent="0.3">
      <c r="A1769" s="18"/>
      <c r="B1769" s="19"/>
      <c r="C1769" s="19"/>
      <c r="D1769" s="22"/>
    </row>
    <row r="1770" spans="1:4" x14ac:dyDescent="0.3">
      <c r="A1770" s="18"/>
      <c r="B1770" s="19"/>
      <c r="C1770" s="19"/>
      <c r="D1770" s="22"/>
    </row>
    <row r="1771" spans="1:4" x14ac:dyDescent="0.3">
      <c r="A1771" s="18"/>
      <c r="B1771" s="19"/>
      <c r="C1771" s="19"/>
      <c r="D1771" s="22"/>
    </row>
    <row r="1772" spans="1:4" x14ac:dyDescent="0.3">
      <c r="A1772" s="18"/>
      <c r="B1772" s="19"/>
      <c r="C1772" s="19"/>
      <c r="D1772" s="22"/>
    </row>
    <row r="1773" spans="1:4" x14ac:dyDescent="0.3">
      <c r="A1773" s="18"/>
      <c r="B1773" s="19"/>
      <c r="C1773" s="19"/>
      <c r="D1773" s="22"/>
    </row>
    <row r="1774" spans="1:4" x14ac:dyDescent="0.3">
      <c r="A1774" s="18"/>
      <c r="B1774" s="19"/>
      <c r="C1774" s="19"/>
      <c r="D1774" s="22"/>
    </row>
    <row r="1775" spans="1:4" x14ac:dyDescent="0.3">
      <c r="A1775" s="18"/>
      <c r="B1775" s="19"/>
      <c r="C1775" s="19"/>
      <c r="D1775" s="22"/>
    </row>
    <row r="1776" spans="1:4" x14ac:dyDescent="0.3">
      <c r="A1776" s="18"/>
      <c r="B1776" s="19"/>
      <c r="C1776" s="19"/>
      <c r="D1776" s="22"/>
    </row>
    <row r="1777" spans="1:4" x14ac:dyDescent="0.3">
      <c r="A1777" s="18"/>
      <c r="B1777" s="19"/>
      <c r="C1777" s="19"/>
      <c r="D1777" s="22"/>
    </row>
    <row r="1778" spans="1:4" x14ac:dyDescent="0.3">
      <c r="A1778" s="18"/>
      <c r="B1778" s="19"/>
      <c r="C1778" s="19"/>
      <c r="D1778" s="22"/>
    </row>
    <row r="1779" spans="1:4" x14ac:dyDescent="0.3">
      <c r="A1779" s="18"/>
      <c r="B1779" s="19"/>
      <c r="C1779" s="19"/>
      <c r="D1779" s="22"/>
    </row>
    <row r="1780" spans="1:4" x14ac:dyDescent="0.3">
      <c r="A1780" s="18"/>
      <c r="B1780" s="19"/>
      <c r="C1780" s="19"/>
      <c r="D1780" s="22"/>
    </row>
    <row r="1781" spans="1:4" x14ac:dyDescent="0.3">
      <c r="A1781" s="18"/>
      <c r="B1781" s="19"/>
      <c r="C1781" s="19"/>
      <c r="D1781" s="22"/>
    </row>
    <row r="1782" spans="1:4" x14ac:dyDescent="0.3">
      <c r="A1782" s="18"/>
      <c r="B1782" s="19"/>
      <c r="C1782" s="19"/>
      <c r="D1782" s="22"/>
    </row>
    <row r="1783" spans="1:4" x14ac:dyDescent="0.3">
      <c r="A1783" s="18"/>
      <c r="B1783" s="19"/>
      <c r="C1783" s="19"/>
      <c r="D1783" s="22"/>
    </row>
    <row r="1784" spans="1:4" x14ac:dyDescent="0.3">
      <c r="A1784" s="18"/>
      <c r="B1784" s="19"/>
      <c r="C1784" s="19"/>
      <c r="D1784" s="22"/>
    </row>
    <row r="1785" spans="1:4" x14ac:dyDescent="0.3">
      <c r="A1785" s="18"/>
      <c r="B1785" s="19"/>
      <c r="C1785" s="19"/>
      <c r="D1785" s="22"/>
    </row>
    <row r="1786" spans="1:4" x14ac:dyDescent="0.3">
      <c r="A1786" s="18"/>
      <c r="B1786" s="19"/>
      <c r="C1786" s="19"/>
      <c r="D1786" s="22"/>
    </row>
    <row r="1787" spans="1:4" x14ac:dyDescent="0.3">
      <c r="A1787" s="18"/>
      <c r="B1787" s="19"/>
      <c r="C1787" s="19"/>
      <c r="D1787" s="22"/>
    </row>
    <row r="1788" spans="1:4" x14ac:dyDescent="0.3">
      <c r="A1788" s="18"/>
      <c r="B1788" s="19"/>
      <c r="C1788" s="19"/>
      <c r="D1788" s="22"/>
    </row>
    <row r="1789" spans="1:4" x14ac:dyDescent="0.3">
      <c r="A1789" s="18"/>
      <c r="B1789" s="19"/>
      <c r="C1789" s="19"/>
      <c r="D1789" s="22"/>
    </row>
    <row r="1790" spans="1:4" x14ac:dyDescent="0.3">
      <c r="A1790" s="18"/>
      <c r="B1790" s="19"/>
      <c r="C1790" s="19"/>
      <c r="D1790" s="22"/>
    </row>
    <row r="1791" spans="1:4" x14ac:dyDescent="0.3">
      <c r="A1791" s="18"/>
      <c r="B1791" s="19"/>
      <c r="C1791" s="19"/>
      <c r="D1791" s="22"/>
    </row>
    <row r="1792" spans="1:4" x14ac:dyDescent="0.3">
      <c r="A1792" s="18"/>
      <c r="B1792" s="19"/>
      <c r="C1792" s="19"/>
      <c r="D1792" s="22"/>
    </row>
    <row r="1793" spans="1:4" x14ac:dyDescent="0.3">
      <c r="A1793" s="18"/>
      <c r="B1793" s="19"/>
      <c r="C1793" s="19"/>
      <c r="D1793" s="22"/>
    </row>
    <row r="1794" spans="1:4" x14ac:dyDescent="0.3">
      <c r="A1794" s="18"/>
      <c r="B1794" s="19"/>
      <c r="C1794" s="19"/>
      <c r="D1794" s="22"/>
    </row>
    <row r="1795" spans="1:4" x14ac:dyDescent="0.3">
      <c r="A1795" s="18"/>
      <c r="B1795" s="19"/>
      <c r="C1795" s="19"/>
      <c r="D1795" s="22"/>
    </row>
    <row r="1796" spans="1:4" x14ac:dyDescent="0.3">
      <c r="A1796" s="18"/>
      <c r="B1796" s="19"/>
      <c r="C1796" s="19"/>
      <c r="D1796" s="22"/>
    </row>
    <row r="1797" spans="1:4" x14ac:dyDescent="0.3">
      <c r="A1797" s="18"/>
      <c r="B1797" s="19"/>
      <c r="C1797" s="19"/>
      <c r="D1797" s="22"/>
    </row>
    <row r="1798" spans="1:4" x14ac:dyDescent="0.3">
      <c r="A1798" s="18"/>
      <c r="B1798" s="19"/>
      <c r="C1798" s="19"/>
      <c r="D1798" s="22"/>
    </row>
    <row r="1799" spans="1:4" x14ac:dyDescent="0.3">
      <c r="A1799" s="18"/>
      <c r="B1799" s="19"/>
      <c r="C1799" s="19"/>
      <c r="D1799" s="22"/>
    </row>
    <row r="1800" spans="1:4" x14ac:dyDescent="0.3">
      <c r="A1800" s="18"/>
      <c r="B1800" s="19"/>
      <c r="C1800" s="19"/>
      <c r="D1800" s="22"/>
    </row>
    <row r="1801" spans="1:4" x14ac:dyDescent="0.3">
      <c r="A1801" s="18"/>
      <c r="B1801" s="19"/>
      <c r="C1801" s="19"/>
      <c r="D1801" s="22"/>
    </row>
    <row r="1802" spans="1:4" x14ac:dyDescent="0.3">
      <c r="A1802" s="18"/>
      <c r="B1802" s="19"/>
      <c r="C1802" s="19"/>
      <c r="D1802" s="22"/>
    </row>
    <row r="1803" spans="1:4" x14ac:dyDescent="0.3">
      <c r="A1803" s="18"/>
      <c r="B1803" s="19"/>
      <c r="C1803" s="19"/>
      <c r="D1803" s="22"/>
    </row>
    <row r="1804" spans="1:4" x14ac:dyDescent="0.3">
      <c r="A1804" s="18"/>
      <c r="B1804" s="19"/>
      <c r="C1804" s="19"/>
      <c r="D1804" s="22"/>
    </row>
    <row r="1805" spans="1:4" x14ac:dyDescent="0.3">
      <c r="A1805" s="18"/>
      <c r="B1805" s="19"/>
      <c r="C1805" s="19"/>
      <c r="D1805" s="22"/>
    </row>
    <row r="1806" spans="1:4" x14ac:dyDescent="0.3">
      <c r="A1806" s="18"/>
      <c r="B1806" s="19"/>
      <c r="C1806" s="19"/>
      <c r="D1806" s="22"/>
    </row>
    <row r="1807" spans="1:4" x14ac:dyDescent="0.3">
      <c r="A1807" s="18"/>
      <c r="B1807" s="19"/>
      <c r="C1807" s="19"/>
      <c r="D1807" s="22"/>
    </row>
    <row r="1808" spans="1:4" x14ac:dyDescent="0.3">
      <c r="A1808" s="18"/>
      <c r="B1808" s="19"/>
      <c r="C1808" s="19"/>
      <c r="D1808" s="22"/>
    </row>
    <row r="1809" spans="1:4" x14ac:dyDescent="0.3">
      <c r="A1809" s="18"/>
      <c r="B1809" s="19"/>
      <c r="C1809" s="19"/>
      <c r="D1809" s="22"/>
    </row>
    <row r="1810" spans="1:4" x14ac:dyDescent="0.3">
      <c r="A1810" s="18"/>
      <c r="B1810" s="19"/>
      <c r="C1810" s="19"/>
      <c r="D1810" s="22"/>
    </row>
    <row r="1811" spans="1:4" x14ac:dyDescent="0.3">
      <c r="A1811" s="18"/>
      <c r="B1811" s="19"/>
      <c r="C1811" s="19"/>
      <c r="D1811" s="22"/>
    </row>
    <row r="1812" spans="1:4" x14ac:dyDescent="0.3">
      <c r="A1812" s="18"/>
      <c r="B1812" s="19"/>
      <c r="C1812" s="19"/>
      <c r="D1812" s="22"/>
    </row>
    <row r="1813" spans="1:4" x14ac:dyDescent="0.3">
      <c r="A1813" s="18"/>
      <c r="B1813" s="19"/>
      <c r="C1813" s="19"/>
      <c r="D1813" s="22"/>
    </row>
    <row r="1814" spans="1:4" x14ac:dyDescent="0.3">
      <c r="A1814" s="18"/>
      <c r="B1814" s="19"/>
      <c r="C1814" s="19"/>
      <c r="D1814" s="22"/>
    </row>
    <row r="1815" spans="1:4" x14ac:dyDescent="0.3">
      <c r="A1815" s="18"/>
      <c r="B1815" s="19"/>
      <c r="C1815" s="19"/>
      <c r="D1815" s="22"/>
    </row>
    <row r="1816" spans="1:4" x14ac:dyDescent="0.3">
      <c r="A1816" s="18"/>
      <c r="B1816" s="19"/>
      <c r="C1816" s="19"/>
      <c r="D1816" s="22"/>
    </row>
    <row r="1817" spans="1:4" x14ac:dyDescent="0.3">
      <c r="A1817" s="18"/>
      <c r="B1817" s="19"/>
      <c r="C1817" s="19"/>
      <c r="D1817" s="22"/>
    </row>
    <row r="1818" spans="1:4" x14ac:dyDescent="0.3">
      <c r="A1818" s="18"/>
      <c r="B1818" s="19"/>
      <c r="C1818" s="19"/>
      <c r="D1818" s="22"/>
    </row>
    <row r="1819" spans="1:4" x14ac:dyDescent="0.3">
      <c r="A1819" s="18"/>
      <c r="B1819" s="19"/>
      <c r="C1819" s="19"/>
      <c r="D1819" s="22"/>
    </row>
    <row r="1820" spans="1:4" x14ac:dyDescent="0.3">
      <c r="A1820" s="18"/>
      <c r="B1820" s="19"/>
      <c r="C1820" s="19"/>
      <c r="D1820" s="22"/>
    </row>
    <row r="1821" spans="1:4" x14ac:dyDescent="0.3">
      <c r="A1821" s="18"/>
      <c r="B1821" s="19"/>
      <c r="C1821" s="19"/>
      <c r="D1821" s="22"/>
    </row>
    <row r="1822" spans="1:4" x14ac:dyDescent="0.3">
      <c r="A1822" s="18"/>
      <c r="B1822" s="19"/>
      <c r="C1822" s="19"/>
      <c r="D1822" s="22"/>
    </row>
    <row r="1823" spans="1:4" x14ac:dyDescent="0.3">
      <c r="A1823" s="18"/>
      <c r="B1823" s="19"/>
      <c r="C1823" s="19"/>
      <c r="D1823" s="22"/>
    </row>
    <row r="1824" spans="1:4" x14ac:dyDescent="0.3">
      <c r="A1824" s="18"/>
      <c r="B1824" s="19"/>
      <c r="C1824" s="19"/>
      <c r="D1824" s="22"/>
    </row>
    <row r="1825" spans="1:4" x14ac:dyDescent="0.3">
      <c r="A1825" s="18"/>
      <c r="B1825" s="19"/>
      <c r="C1825" s="19"/>
      <c r="D1825" s="22"/>
    </row>
    <row r="1826" spans="1:4" x14ac:dyDescent="0.3">
      <c r="A1826" s="18"/>
      <c r="B1826" s="19"/>
      <c r="C1826" s="19"/>
      <c r="D1826" s="22"/>
    </row>
    <row r="1827" spans="1:4" x14ac:dyDescent="0.3">
      <c r="A1827" s="18"/>
      <c r="B1827" s="19"/>
      <c r="C1827" s="19"/>
      <c r="D1827" s="22"/>
    </row>
    <row r="1828" spans="1:4" x14ac:dyDescent="0.3">
      <c r="A1828" s="18"/>
      <c r="B1828" s="19"/>
      <c r="C1828" s="19"/>
      <c r="D1828" s="22"/>
    </row>
    <row r="1829" spans="1:4" x14ac:dyDescent="0.3">
      <c r="A1829" s="18"/>
      <c r="B1829" s="19"/>
      <c r="C1829" s="19"/>
      <c r="D1829" s="22"/>
    </row>
    <row r="1830" spans="1:4" x14ac:dyDescent="0.3">
      <c r="A1830" s="18"/>
      <c r="B1830" s="19"/>
      <c r="C1830" s="19"/>
      <c r="D1830" s="22"/>
    </row>
    <row r="1831" spans="1:4" x14ac:dyDescent="0.3">
      <c r="A1831" s="18"/>
      <c r="B1831" s="19"/>
      <c r="C1831" s="19"/>
      <c r="D1831" s="22"/>
    </row>
    <row r="1832" spans="1:4" x14ac:dyDescent="0.3">
      <c r="A1832" s="18"/>
      <c r="B1832" s="19"/>
      <c r="C1832" s="19"/>
      <c r="D1832" s="22"/>
    </row>
    <row r="1833" spans="1:4" x14ac:dyDescent="0.3">
      <c r="A1833" s="18"/>
      <c r="B1833" s="19"/>
      <c r="C1833" s="19"/>
      <c r="D1833" s="22"/>
    </row>
    <row r="1834" spans="1:4" x14ac:dyDescent="0.3">
      <c r="A1834" s="18"/>
      <c r="B1834" s="19"/>
      <c r="C1834" s="19"/>
      <c r="D1834" s="22"/>
    </row>
    <row r="1835" spans="1:4" x14ac:dyDescent="0.3">
      <c r="A1835" s="18"/>
      <c r="B1835" s="19"/>
      <c r="C1835" s="19"/>
      <c r="D1835" s="22"/>
    </row>
    <row r="1836" spans="1:4" x14ac:dyDescent="0.3">
      <c r="A1836" s="18"/>
      <c r="B1836" s="19"/>
      <c r="C1836" s="19"/>
      <c r="D1836" s="22"/>
    </row>
    <row r="1837" spans="1:4" x14ac:dyDescent="0.3">
      <c r="A1837" s="18"/>
      <c r="B1837" s="19"/>
      <c r="C1837" s="19"/>
      <c r="D1837" s="22"/>
    </row>
    <row r="1838" spans="1:4" x14ac:dyDescent="0.3">
      <c r="A1838" s="18"/>
      <c r="B1838" s="19"/>
      <c r="C1838" s="19"/>
      <c r="D1838" s="22"/>
    </row>
    <row r="1839" spans="1:4" x14ac:dyDescent="0.3">
      <c r="A1839" s="18"/>
      <c r="B1839" s="19"/>
      <c r="C1839" s="19"/>
      <c r="D1839" s="22"/>
    </row>
    <row r="1840" spans="1:4" x14ac:dyDescent="0.3">
      <c r="A1840" s="18"/>
      <c r="B1840" s="19"/>
      <c r="C1840" s="19"/>
      <c r="D1840" s="22"/>
    </row>
    <row r="1841" spans="1:4" x14ac:dyDescent="0.3">
      <c r="A1841" s="18"/>
      <c r="B1841" s="19"/>
      <c r="C1841" s="19"/>
      <c r="D1841" s="22"/>
    </row>
    <row r="1842" spans="1:4" x14ac:dyDescent="0.3">
      <c r="A1842" s="18"/>
      <c r="B1842" s="19"/>
      <c r="C1842" s="19"/>
      <c r="D1842" s="22"/>
    </row>
    <row r="1843" spans="1:4" x14ac:dyDescent="0.3">
      <c r="A1843" s="18"/>
      <c r="B1843" s="19"/>
      <c r="C1843" s="19"/>
      <c r="D1843" s="22"/>
    </row>
    <row r="1844" spans="1:4" x14ac:dyDescent="0.3">
      <c r="A1844" s="18"/>
      <c r="B1844" s="19"/>
      <c r="C1844" s="19"/>
      <c r="D1844" s="22"/>
    </row>
    <row r="1845" spans="1:4" x14ac:dyDescent="0.3">
      <c r="A1845" s="18"/>
      <c r="B1845" s="19"/>
      <c r="C1845" s="19"/>
      <c r="D1845" s="22"/>
    </row>
    <row r="1846" spans="1:4" x14ac:dyDescent="0.3">
      <c r="A1846" s="18"/>
      <c r="B1846" s="19"/>
      <c r="C1846" s="19"/>
      <c r="D1846" s="22"/>
    </row>
    <row r="1847" spans="1:4" x14ac:dyDescent="0.3">
      <c r="A1847" s="18"/>
      <c r="B1847" s="19"/>
      <c r="C1847" s="19"/>
      <c r="D1847" s="22"/>
    </row>
    <row r="1848" spans="1:4" x14ac:dyDescent="0.3">
      <c r="A1848" s="18"/>
      <c r="B1848" s="19"/>
      <c r="C1848" s="19"/>
      <c r="D1848" s="22"/>
    </row>
    <row r="1849" spans="1:4" x14ac:dyDescent="0.3">
      <c r="A1849" s="18"/>
      <c r="B1849" s="19"/>
      <c r="C1849" s="19"/>
      <c r="D1849" s="22"/>
    </row>
    <row r="1850" spans="1:4" x14ac:dyDescent="0.3">
      <c r="A1850" s="18"/>
      <c r="B1850" s="19"/>
      <c r="C1850" s="19"/>
      <c r="D1850" s="22"/>
    </row>
    <row r="1851" spans="1:4" x14ac:dyDescent="0.3">
      <c r="A1851" s="18"/>
      <c r="B1851" s="19"/>
      <c r="C1851" s="19"/>
      <c r="D1851" s="22"/>
    </row>
    <row r="1852" spans="1:4" x14ac:dyDescent="0.3">
      <c r="A1852" s="18"/>
      <c r="B1852" s="19"/>
      <c r="C1852" s="19"/>
      <c r="D1852" s="22"/>
    </row>
    <row r="1853" spans="1:4" x14ac:dyDescent="0.3">
      <c r="A1853" s="18"/>
      <c r="B1853" s="19"/>
      <c r="C1853" s="19"/>
      <c r="D1853" s="22"/>
    </row>
    <row r="1854" spans="1:4" x14ac:dyDescent="0.3">
      <c r="A1854" s="18"/>
      <c r="B1854" s="19"/>
      <c r="C1854" s="19"/>
      <c r="D1854" s="22"/>
    </row>
    <row r="1855" spans="1:4" x14ac:dyDescent="0.3">
      <c r="A1855" s="18"/>
      <c r="B1855" s="19"/>
      <c r="C1855" s="19"/>
      <c r="D1855" s="22"/>
    </row>
    <row r="1856" spans="1:4" x14ac:dyDescent="0.3">
      <c r="A1856" s="18"/>
      <c r="B1856" s="19"/>
      <c r="C1856" s="19"/>
      <c r="D1856" s="22"/>
    </row>
    <row r="1857" spans="1:4" x14ac:dyDescent="0.3">
      <c r="A1857" s="18"/>
      <c r="B1857" s="19"/>
      <c r="C1857" s="19"/>
      <c r="D1857" s="22"/>
    </row>
    <row r="1858" spans="1:4" x14ac:dyDescent="0.3">
      <c r="A1858" s="18"/>
      <c r="B1858" s="19"/>
      <c r="C1858" s="19"/>
      <c r="D1858" s="22"/>
    </row>
    <row r="1859" spans="1:4" x14ac:dyDescent="0.3">
      <c r="A1859" s="18"/>
      <c r="B1859" s="19"/>
      <c r="C1859" s="19"/>
      <c r="D1859" s="22"/>
    </row>
    <row r="1860" spans="1:4" x14ac:dyDescent="0.3">
      <c r="A1860" s="18"/>
      <c r="B1860" s="19"/>
      <c r="C1860" s="19"/>
      <c r="D1860" s="22"/>
    </row>
    <row r="1861" spans="1:4" x14ac:dyDescent="0.3">
      <c r="A1861" s="18"/>
      <c r="B1861" s="19"/>
      <c r="C1861" s="19"/>
      <c r="D1861" s="22"/>
    </row>
    <row r="1862" spans="1:4" x14ac:dyDescent="0.3">
      <c r="A1862" s="18"/>
      <c r="B1862" s="19"/>
      <c r="C1862" s="19"/>
      <c r="D1862" s="22"/>
    </row>
    <row r="1863" spans="1:4" x14ac:dyDescent="0.3">
      <c r="A1863" s="18"/>
      <c r="B1863" s="19"/>
      <c r="C1863" s="19"/>
      <c r="D1863" s="22"/>
    </row>
    <row r="1864" spans="1:4" x14ac:dyDescent="0.3">
      <c r="A1864" s="18"/>
      <c r="B1864" s="19"/>
      <c r="C1864" s="19"/>
      <c r="D1864" s="22"/>
    </row>
    <row r="1865" spans="1:4" x14ac:dyDescent="0.3">
      <c r="A1865" s="18"/>
      <c r="B1865" s="19"/>
      <c r="C1865" s="19"/>
      <c r="D1865" s="22"/>
    </row>
    <row r="1866" spans="1:4" x14ac:dyDescent="0.3">
      <c r="A1866" s="18"/>
      <c r="B1866" s="19"/>
      <c r="C1866" s="19"/>
      <c r="D1866" s="22"/>
    </row>
    <row r="1867" spans="1:4" x14ac:dyDescent="0.3">
      <c r="A1867" s="18"/>
      <c r="B1867" s="19"/>
      <c r="C1867" s="19"/>
      <c r="D1867" s="22"/>
    </row>
    <row r="1868" spans="1:4" x14ac:dyDescent="0.3">
      <c r="A1868" s="18"/>
      <c r="B1868" s="19"/>
      <c r="C1868" s="19"/>
      <c r="D1868" s="22"/>
    </row>
    <row r="1869" spans="1:4" x14ac:dyDescent="0.3">
      <c r="A1869" s="18"/>
      <c r="B1869" s="19"/>
      <c r="C1869" s="19"/>
      <c r="D1869" s="22"/>
    </row>
    <row r="1870" spans="1:4" x14ac:dyDescent="0.3">
      <c r="A1870" s="18"/>
      <c r="B1870" s="19"/>
      <c r="C1870" s="19"/>
      <c r="D1870" s="22"/>
    </row>
    <row r="1871" spans="1:4" x14ac:dyDescent="0.3">
      <c r="A1871" s="18"/>
      <c r="B1871" s="19"/>
      <c r="C1871" s="19"/>
      <c r="D1871" s="22"/>
    </row>
    <row r="1872" spans="1:4" x14ac:dyDescent="0.3">
      <c r="A1872" s="18"/>
      <c r="B1872" s="19"/>
      <c r="C1872" s="19"/>
      <c r="D1872" s="22"/>
    </row>
    <row r="1873" spans="1:4" x14ac:dyDescent="0.3">
      <c r="A1873" s="18"/>
      <c r="B1873" s="19"/>
      <c r="C1873" s="19"/>
      <c r="D1873" s="22"/>
    </row>
    <row r="1874" spans="1:4" x14ac:dyDescent="0.3">
      <c r="A1874" s="18"/>
      <c r="B1874" s="19"/>
      <c r="C1874" s="19"/>
      <c r="D1874" s="22"/>
    </row>
    <row r="1875" spans="1:4" x14ac:dyDescent="0.3">
      <c r="A1875" s="18"/>
      <c r="B1875" s="19"/>
      <c r="C1875" s="19"/>
      <c r="D1875" s="22"/>
    </row>
    <row r="1876" spans="1:4" x14ac:dyDescent="0.3">
      <c r="A1876" s="18"/>
      <c r="B1876" s="19"/>
      <c r="C1876" s="19"/>
      <c r="D1876" s="22"/>
    </row>
    <row r="1877" spans="1:4" x14ac:dyDescent="0.3">
      <c r="A1877" s="18"/>
      <c r="B1877" s="19"/>
      <c r="C1877" s="19"/>
      <c r="D1877" s="22"/>
    </row>
    <row r="1878" spans="1:4" x14ac:dyDescent="0.3">
      <c r="A1878" s="18"/>
      <c r="B1878" s="19"/>
      <c r="C1878" s="19"/>
      <c r="D1878" s="22"/>
    </row>
    <row r="1879" spans="1:4" x14ac:dyDescent="0.3">
      <c r="A1879" s="18"/>
      <c r="B1879" s="19"/>
      <c r="C1879" s="19"/>
      <c r="D1879" s="22"/>
    </row>
    <row r="1880" spans="1:4" x14ac:dyDescent="0.3">
      <c r="A1880" s="18"/>
      <c r="B1880" s="19"/>
      <c r="C1880" s="19"/>
      <c r="D1880" s="22"/>
    </row>
    <row r="1881" spans="1:4" x14ac:dyDescent="0.3">
      <c r="A1881" s="18"/>
      <c r="B1881" s="19"/>
      <c r="C1881" s="19"/>
      <c r="D1881" s="22"/>
    </row>
    <row r="1882" spans="1:4" x14ac:dyDescent="0.3">
      <c r="A1882" s="18"/>
      <c r="B1882" s="19"/>
      <c r="C1882" s="19"/>
      <c r="D1882" s="22"/>
    </row>
    <row r="1883" spans="1:4" x14ac:dyDescent="0.3">
      <c r="A1883" s="18"/>
      <c r="B1883" s="19"/>
      <c r="C1883" s="19"/>
      <c r="D1883" s="22"/>
    </row>
    <row r="1884" spans="1:4" x14ac:dyDescent="0.3">
      <c r="A1884" s="18"/>
      <c r="B1884" s="19"/>
      <c r="C1884" s="19"/>
      <c r="D1884" s="22"/>
    </row>
    <row r="1885" spans="1:4" x14ac:dyDescent="0.3">
      <c r="A1885" s="18"/>
      <c r="B1885" s="19"/>
      <c r="C1885" s="19"/>
      <c r="D1885" s="22"/>
    </row>
    <row r="1886" spans="1:4" x14ac:dyDescent="0.3">
      <c r="A1886" s="18"/>
      <c r="B1886" s="19"/>
      <c r="C1886" s="19"/>
      <c r="D1886" s="22"/>
    </row>
    <row r="1887" spans="1:4" x14ac:dyDescent="0.3">
      <c r="A1887" s="18"/>
      <c r="B1887" s="19"/>
      <c r="C1887" s="19"/>
      <c r="D1887" s="22"/>
    </row>
    <row r="1888" spans="1:4" x14ac:dyDescent="0.3">
      <c r="A1888" s="18"/>
      <c r="B1888" s="19"/>
      <c r="C1888" s="19"/>
      <c r="D1888" s="22"/>
    </row>
    <row r="1889" spans="1:4" x14ac:dyDescent="0.3">
      <c r="A1889" s="18"/>
      <c r="B1889" s="19"/>
      <c r="C1889" s="19"/>
      <c r="D1889" s="22"/>
    </row>
    <row r="1890" spans="1:4" x14ac:dyDescent="0.3">
      <c r="A1890" s="18"/>
      <c r="B1890" s="19"/>
      <c r="C1890" s="19"/>
      <c r="D1890" s="22"/>
    </row>
    <row r="1891" spans="1:4" x14ac:dyDescent="0.3">
      <c r="A1891" s="18"/>
      <c r="B1891" s="19"/>
      <c r="C1891" s="19"/>
      <c r="D1891" s="22"/>
    </row>
    <row r="1892" spans="1:4" x14ac:dyDescent="0.3">
      <c r="A1892" s="18"/>
      <c r="B1892" s="19"/>
      <c r="C1892" s="19"/>
      <c r="D1892" s="22"/>
    </row>
    <row r="1893" spans="1:4" x14ac:dyDescent="0.3">
      <c r="A1893" s="18"/>
      <c r="B1893" s="19"/>
      <c r="C1893" s="19"/>
      <c r="D1893" s="22"/>
    </row>
    <row r="1894" spans="1:4" x14ac:dyDescent="0.3">
      <c r="A1894" s="18"/>
      <c r="B1894" s="19"/>
      <c r="C1894" s="19"/>
      <c r="D1894" s="22"/>
    </row>
    <row r="1895" spans="1:4" x14ac:dyDescent="0.3">
      <c r="A1895" s="18"/>
      <c r="B1895" s="19"/>
      <c r="C1895" s="19"/>
      <c r="D1895" s="22"/>
    </row>
    <row r="1896" spans="1:4" x14ac:dyDescent="0.3">
      <c r="A1896" s="18"/>
      <c r="B1896" s="19"/>
      <c r="C1896" s="19"/>
      <c r="D1896" s="22"/>
    </row>
    <row r="1897" spans="1:4" x14ac:dyDescent="0.3">
      <c r="A1897" s="18"/>
      <c r="B1897" s="19"/>
      <c r="C1897" s="19"/>
      <c r="D1897" s="22"/>
    </row>
    <row r="1898" spans="1:4" x14ac:dyDescent="0.3">
      <c r="A1898" s="18"/>
      <c r="B1898" s="19"/>
      <c r="C1898" s="19"/>
      <c r="D1898" s="22"/>
    </row>
    <row r="1899" spans="1:4" x14ac:dyDescent="0.3">
      <c r="A1899" s="18"/>
      <c r="B1899" s="19"/>
      <c r="C1899" s="19"/>
      <c r="D1899" s="22"/>
    </row>
    <row r="1900" spans="1:4" x14ac:dyDescent="0.3">
      <c r="A1900" s="18"/>
      <c r="B1900" s="19"/>
      <c r="C1900" s="19"/>
      <c r="D1900" s="22"/>
    </row>
    <row r="1901" spans="1:4" x14ac:dyDescent="0.3">
      <c r="A1901" s="18"/>
      <c r="B1901" s="19"/>
      <c r="C1901" s="19"/>
      <c r="D1901" s="22"/>
    </row>
    <row r="1902" spans="1:4" x14ac:dyDescent="0.3">
      <c r="A1902" s="18"/>
      <c r="B1902" s="19"/>
      <c r="C1902" s="19"/>
      <c r="D1902" s="22"/>
    </row>
    <row r="1903" spans="1:4" x14ac:dyDescent="0.3">
      <c r="A1903" s="18"/>
      <c r="B1903" s="19"/>
      <c r="C1903" s="19"/>
      <c r="D1903" s="22"/>
    </row>
    <row r="1904" spans="1:4" x14ac:dyDescent="0.3">
      <c r="A1904" s="18"/>
      <c r="B1904" s="19"/>
      <c r="C1904" s="19"/>
      <c r="D1904" s="22"/>
    </row>
    <row r="1905" spans="1:4" x14ac:dyDescent="0.3">
      <c r="A1905" s="18"/>
      <c r="B1905" s="19"/>
      <c r="C1905" s="19"/>
      <c r="D1905" s="22"/>
    </row>
    <row r="1906" spans="1:4" x14ac:dyDescent="0.3">
      <c r="A1906" s="18"/>
      <c r="B1906" s="19"/>
      <c r="C1906" s="19"/>
      <c r="D1906" s="22"/>
    </row>
    <row r="1907" spans="1:4" x14ac:dyDescent="0.3">
      <c r="A1907" s="18"/>
      <c r="B1907" s="19"/>
      <c r="C1907" s="19"/>
      <c r="D1907" s="22"/>
    </row>
    <row r="1908" spans="1:4" x14ac:dyDescent="0.3">
      <c r="A1908" s="18"/>
      <c r="B1908" s="19"/>
      <c r="C1908" s="19"/>
      <c r="D1908" s="22"/>
    </row>
    <row r="1909" spans="1:4" x14ac:dyDescent="0.3">
      <c r="A1909" s="18"/>
      <c r="B1909" s="19"/>
      <c r="C1909" s="19"/>
      <c r="D1909" s="22"/>
    </row>
    <row r="1910" spans="1:4" x14ac:dyDescent="0.3">
      <c r="A1910" s="18"/>
      <c r="B1910" s="19"/>
      <c r="C1910" s="19"/>
      <c r="D1910" s="22"/>
    </row>
    <row r="1911" spans="1:4" x14ac:dyDescent="0.3">
      <c r="A1911" s="18"/>
      <c r="B1911" s="19"/>
      <c r="C1911" s="19"/>
      <c r="D1911" s="22"/>
    </row>
    <row r="1912" spans="1:4" x14ac:dyDescent="0.3">
      <c r="A1912" s="18"/>
      <c r="B1912" s="19"/>
      <c r="C1912" s="19"/>
      <c r="D1912" s="22"/>
    </row>
    <row r="1913" spans="1:4" x14ac:dyDescent="0.3">
      <c r="A1913" s="18"/>
      <c r="B1913" s="19"/>
      <c r="C1913" s="19"/>
      <c r="D1913" s="22"/>
    </row>
    <row r="1914" spans="1:4" x14ac:dyDescent="0.3">
      <c r="A1914" s="18"/>
      <c r="B1914" s="19"/>
      <c r="C1914" s="19"/>
      <c r="D1914" s="22"/>
    </row>
    <row r="1915" spans="1:4" x14ac:dyDescent="0.3">
      <c r="A1915" s="18"/>
      <c r="B1915" s="19"/>
      <c r="C1915" s="19"/>
      <c r="D1915" s="22"/>
    </row>
    <row r="1916" spans="1:4" x14ac:dyDescent="0.3">
      <c r="A1916" s="18"/>
      <c r="B1916" s="19"/>
      <c r="C1916" s="19"/>
      <c r="D1916" s="22"/>
    </row>
    <row r="1917" spans="1:4" x14ac:dyDescent="0.3">
      <c r="A1917" s="18"/>
      <c r="B1917" s="19"/>
      <c r="C1917" s="19"/>
      <c r="D1917" s="22"/>
    </row>
    <row r="1918" spans="1:4" x14ac:dyDescent="0.3">
      <c r="A1918" s="18"/>
      <c r="B1918" s="19"/>
      <c r="C1918" s="19"/>
      <c r="D1918" s="22"/>
    </row>
    <row r="1919" spans="1:4" x14ac:dyDescent="0.3">
      <c r="A1919" s="18"/>
      <c r="B1919" s="19"/>
      <c r="C1919" s="19"/>
      <c r="D1919" s="22"/>
    </row>
    <row r="1920" spans="1:4" x14ac:dyDescent="0.3">
      <c r="A1920" s="18"/>
      <c r="B1920" s="19"/>
      <c r="C1920" s="19"/>
      <c r="D1920" s="22"/>
    </row>
    <row r="1921" spans="1:4" x14ac:dyDescent="0.3">
      <c r="A1921" s="18"/>
      <c r="B1921" s="19"/>
      <c r="C1921" s="19"/>
      <c r="D1921" s="22"/>
    </row>
    <row r="1922" spans="1:4" x14ac:dyDescent="0.3">
      <c r="A1922" s="18"/>
      <c r="B1922" s="19"/>
      <c r="C1922" s="19"/>
      <c r="D1922" s="22"/>
    </row>
    <row r="1923" spans="1:4" x14ac:dyDescent="0.3">
      <c r="A1923" s="18"/>
      <c r="B1923" s="19"/>
      <c r="C1923" s="19"/>
      <c r="D1923" s="22"/>
    </row>
    <row r="1924" spans="1:4" x14ac:dyDescent="0.3">
      <c r="A1924" s="18"/>
      <c r="B1924" s="19"/>
      <c r="C1924" s="19"/>
      <c r="D1924" s="22"/>
    </row>
    <row r="1925" spans="1:4" x14ac:dyDescent="0.3">
      <c r="A1925" s="18"/>
      <c r="B1925" s="19"/>
      <c r="C1925" s="19"/>
      <c r="D1925" s="22"/>
    </row>
    <row r="1926" spans="1:4" x14ac:dyDescent="0.3">
      <c r="A1926" s="18"/>
      <c r="B1926" s="19"/>
      <c r="C1926" s="19"/>
      <c r="D1926" s="22"/>
    </row>
    <row r="1927" spans="1:4" x14ac:dyDescent="0.3">
      <c r="A1927" s="18"/>
      <c r="B1927" s="19"/>
      <c r="C1927" s="19"/>
      <c r="D1927" s="22"/>
    </row>
    <row r="1928" spans="1:4" x14ac:dyDescent="0.3">
      <c r="A1928" s="18"/>
      <c r="B1928" s="19"/>
      <c r="C1928" s="19"/>
      <c r="D1928" s="22"/>
    </row>
    <row r="1929" spans="1:4" x14ac:dyDescent="0.3">
      <c r="A1929" s="18"/>
      <c r="B1929" s="19"/>
      <c r="C1929" s="19"/>
      <c r="D1929" s="22"/>
    </row>
    <row r="1930" spans="1:4" x14ac:dyDescent="0.3">
      <c r="A1930" s="18"/>
      <c r="B1930" s="19"/>
      <c r="C1930" s="19"/>
      <c r="D1930" s="22"/>
    </row>
    <row r="1931" spans="1:4" x14ac:dyDescent="0.3">
      <c r="A1931" s="18"/>
      <c r="B1931" s="19"/>
      <c r="C1931" s="19"/>
      <c r="D1931" s="22"/>
    </row>
    <row r="1932" spans="1:4" x14ac:dyDescent="0.3">
      <c r="A1932" s="18"/>
      <c r="B1932" s="19"/>
      <c r="C1932" s="19"/>
      <c r="D1932" s="22"/>
    </row>
    <row r="1933" spans="1:4" x14ac:dyDescent="0.3">
      <c r="A1933" s="18"/>
      <c r="B1933" s="19"/>
      <c r="C1933" s="19"/>
      <c r="D1933" s="22"/>
    </row>
    <row r="1934" spans="1:4" x14ac:dyDescent="0.3">
      <c r="A1934" s="18"/>
      <c r="B1934" s="19"/>
      <c r="C1934" s="19"/>
      <c r="D1934" s="22"/>
    </row>
    <row r="1935" spans="1:4" x14ac:dyDescent="0.3">
      <c r="A1935" s="18"/>
      <c r="B1935" s="19"/>
      <c r="C1935" s="19"/>
      <c r="D1935" s="22"/>
    </row>
    <row r="1936" spans="1:4" x14ac:dyDescent="0.3">
      <c r="A1936" s="18"/>
      <c r="B1936" s="19"/>
      <c r="C1936" s="19"/>
      <c r="D1936" s="22"/>
    </row>
    <row r="1937" spans="1:4" x14ac:dyDescent="0.3">
      <c r="A1937" s="18"/>
      <c r="B1937" s="19"/>
      <c r="C1937" s="19"/>
      <c r="D1937" s="22"/>
    </row>
    <row r="1938" spans="1:4" x14ac:dyDescent="0.3">
      <c r="A1938" s="18"/>
      <c r="B1938" s="19"/>
      <c r="C1938" s="19"/>
      <c r="D1938" s="22"/>
    </row>
    <row r="1939" spans="1:4" x14ac:dyDescent="0.3">
      <c r="A1939" s="18"/>
      <c r="B1939" s="19"/>
      <c r="C1939" s="19"/>
      <c r="D1939" s="22"/>
    </row>
    <row r="1940" spans="1:4" x14ac:dyDescent="0.3">
      <c r="A1940" s="18"/>
      <c r="B1940" s="19"/>
      <c r="C1940" s="19"/>
      <c r="D1940" s="22"/>
    </row>
    <row r="1941" spans="1:4" x14ac:dyDescent="0.3">
      <c r="A1941" s="18"/>
      <c r="B1941" s="19"/>
      <c r="C1941" s="19"/>
      <c r="D1941" s="22"/>
    </row>
    <row r="1942" spans="1:4" x14ac:dyDescent="0.3">
      <c r="A1942" s="18"/>
      <c r="B1942" s="19"/>
      <c r="C1942" s="19"/>
      <c r="D1942" s="22"/>
    </row>
    <row r="1943" spans="1:4" x14ac:dyDescent="0.3">
      <c r="A1943" s="18"/>
      <c r="B1943" s="19"/>
      <c r="C1943" s="19"/>
      <c r="D1943" s="22"/>
    </row>
    <row r="1944" spans="1:4" x14ac:dyDescent="0.3">
      <c r="A1944" s="18"/>
      <c r="B1944" s="19"/>
      <c r="C1944" s="19"/>
      <c r="D1944" s="22"/>
    </row>
    <row r="1945" spans="1:4" x14ac:dyDescent="0.3">
      <c r="A1945" s="18"/>
      <c r="B1945" s="19"/>
      <c r="C1945" s="19"/>
      <c r="D1945" s="22"/>
    </row>
    <row r="1946" spans="1:4" x14ac:dyDescent="0.3">
      <c r="A1946" s="18"/>
      <c r="B1946" s="19"/>
      <c r="C1946" s="19"/>
      <c r="D1946" s="22"/>
    </row>
    <row r="1947" spans="1:4" x14ac:dyDescent="0.3">
      <c r="A1947" s="18"/>
      <c r="B1947" s="19"/>
      <c r="C1947" s="19"/>
      <c r="D1947" s="22"/>
    </row>
    <row r="1948" spans="1:4" x14ac:dyDescent="0.3">
      <c r="A1948" s="18"/>
      <c r="B1948" s="19"/>
      <c r="C1948" s="19"/>
      <c r="D1948" s="22"/>
    </row>
    <row r="1949" spans="1:4" x14ac:dyDescent="0.3">
      <c r="A1949" s="18"/>
      <c r="B1949" s="19"/>
      <c r="C1949" s="19"/>
      <c r="D1949" s="22"/>
    </row>
    <row r="1950" spans="1:4" x14ac:dyDescent="0.3">
      <c r="A1950" s="18"/>
      <c r="B1950" s="19"/>
      <c r="C1950" s="19"/>
      <c r="D1950" s="22"/>
    </row>
    <row r="1951" spans="1:4" x14ac:dyDescent="0.3">
      <c r="A1951" s="18"/>
      <c r="B1951" s="19"/>
      <c r="C1951" s="19"/>
      <c r="D1951" s="22"/>
    </row>
    <row r="1952" spans="1:4" x14ac:dyDescent="0.3">
      <c r="A1952" s="18"/>
      <c r="B1952" s="19"/>
      <c r="C1952" s="19"/>
      <c r="D1952" s="22"/>
    </row>
    <row r="1953" spans="1:4" x14ac:dyDescent="0.3">
      <c r="A1953" s="18"/>
      <c r="B1953" s="19"/>
      <c r="C1953" s="19"/>
      <c r="D1953" s="22"/>
    </row>
    <row r="1954" spans="1:4" x14ac:dyDescent="0.3">
      <c r="A1954" s="18"/>
      <c r="B1954" s="19"/>
      <c r="C1954" s="19"/>
      <c r="D1954" s="22"/>
    </row>
    <row r="1955" spans="1:4" x14ac:dyDescent="0.3">
      <c r="A1955" s="18"/>
      <c r="B1955" s="19"/>
      <c r="C1955" s="19"/>
      <c r="D1955" s="22"/>
    </row>
    <row r="1956" spans="1:4" x14ac:dyDescent="0.3">
      <c r="A1956" s="18"/>
      <c r="B1956" s="19"/>
      <c r="C1956" s="19"/>
      <c r="D1956" s="22"/>
    </row>
    <row r="1957" spans="1:4" x14ac:dyDescent="0.3">
      <c r="A1957" s="18"/>
      <c r="B1957" s="19"/>
      <c r="C1957" s="19"/>
      <c r="D1957" s="22"/>
    </row>
    <row r="1958" spans="1:4" x14ac:dyDescent="0.3">
      <c r="A1958" s="18"/>
      <c r="B1958" s="19"/>
      <c r="C1958" s="19"/>
      <c r="D1958" s="22"/>
    </row>
    <row r="1959" spans="1:4" x14ac:dyDescent="0.3">
      <c r="A1959" s="18"/>
      <c r="B1959" s="19"/>
      <c r="C1959" s="19"/>
      <c r="D1959" s="22"/>
    </row>
    <row r="1960" spans="1:4" x14ac:dyDescent="0.3">
      <c r="A1960" s="18"/>
      <c r="B1960" s="19"/>
      <c r="C1960" s="19"/>
      <c r="D1960" s="22"/>
    </row>
    <row r="1961" spans="1:4" x14ac:dyDescent="0.3">
      <c r="A1961" s="18"/>
      <c r="B1961" s="19"/>
      <c r="C1961" s="19"/>
      <c r="D1961" s="22"/>
    </row>
    <row r="1962" spans="1:4" x14ac:dyDescent="0.3">
      <c r="A1962" s="18"/>
      <c r="B1962" s="19"/>
      <c r="C1962" s="19"/>
      <c r="D1962" s="22"/>
    </row>
    <row r="1963" spans="1:4" x14ac:dyDescent="0.3">
      <c r="A1963" s="18"/>
      <c r="B1963" s="19"/>
      <c r="C1963" s="19"/>
      <c r="D1963" s="22"/>
    </row>
    <row r="1964" spans="1:4" x14ac:dyDescent="0.3">
      <c r="A1964" s="18"/>
      <c r="B1964" s="19"/>
      <c r="C1964" s="19"/>
      <c r="D1964" s="22"/>
    </row>
    <row r="1965" spans="1:4" x14ac:dyDescent="0.3">
      <c r="A1965" s="18"/>
      <c r="B1965" s="19"/>
      <c r="C1965" s="19"/>
      <c r="D1965" s="22"/>
    </row>
    <row r="1966" spans="1:4" x14ac:dyDescent="0.3">
      <c r="A1966" s="18"/>
      <c r="B1966" s="19"/>
      <c r="C1966" s="19"/>
      <c r="D1966" s="22"/>
    </row>
    <row r="1967" spans="1:4" x14ac:dyDescent="0.3">
      <c r="A1967" s="18"/>
      <c r="B1967" s="19"/>
      <c r="C1967" s="19"/>
      <c r="D1967" s="22"/>
    </row>
    <row r="1968" spans="1:4" x14ac:dyDescent="0.3">
      <c r="A1968" s="18"/>
      <c r="B1968" s="19"/>
      <c r="C1968" s="19"/>
      <c r="D1968" s="22"/>
    </row>
    <row r="1969" spans="1:4" x14ac:dyDescent="0.3">
      <c r="A1969" s="18"/>
      <c r="B1969" s="19"/>
      <c r="C1969" s="19"/>
      <c r="D1969" s="22"/>
    </row>
    <row r="1970" spans="1:4" x14ac:dyDescent="0.3">
      <c r="A1970" s="18"/>
      <c r="B1970" s="19"/>
      <c r="C1970" s="19"/>
      <c r="D1970" s="22"/>
    </row>
    <row r="1971" spans="1:4" x14ac:dyDescent="0.3">
      <c r="A1971" s="18"/>
      <c r="B1971" s="19"/>
      <c r="C1971" s="19"/>
      <c r="D1971" s="22"/>
    </row>
    <row r="1972" spans="1:4" x14ac:dyDescent="0.3">
      <c r="A1972" s="18"/>
      <c r="B1972" s="19"/>
      <c r="C1972" s="19"/>
      <c r="D1972" s="22"/>
    </row>
    <row r="1973" spans="1:4" x14ac:dyDescent="0.3">
      <c r="A1973" s="18"/>
      <c r="B1973" s="19"/>
      <c r="C1973" s="19"/>
      <c r="D1973" s="22"/>
    </row>
    <row r="1974" spans="1:4" x14ac:dyDescent="0.3">
      <c r="A1974" s="18"/>
      <c r="B1974" s="19"/>
      <c r="C1974" s="19"/>
      <c r="D1974" s="22"/>
    </row>
    <row r="1975" spans="1:4" x14ac:dyDescent="0.3">
      <c r="A1975" s="18"/>
      <c r="B1975" s="19"/>
      <c r="C1975" s="19"/>
      <c r="D1975" s="22"/>
    </row>
    <row r="1976" spans="1:4" x14ac:dyDescent="0.3">
      <c r="A1976" s="18"/>
      <c r="B1976" s="19"/>
      <c r="C1976" s="19"/>
      <c r="D1976" s="22"/>
    </row>
    <row r="1977" spans="1:4" x14ac:dyDescent="0.3">
      <c r="A1977" s="18"/>
      <c r="B1977" s="19"/>
      <c r="C1977" s="19"/>
      <c r="D1977" s="22"/>
    </row>
    <row r="1978" spans="1:4" x14ac:dyDescent="0.3">
      <c r="A1978" s="18"/>
      <c r="B1978" s="19"/>
      <c r="C1978" s="19"/>
      <c r="D1978" s="22"/>
    </row>
    <row r="1979" spans="1:4" x14ac:dyDescent="0.3">
      <c r="A1979" s="18"/>
      <c r="B1979" s="19"/>
      <c r="C1979" s="19"/>
      <c r="D1979" s="22"/>
    </row>
    <row r="1980" spans="1:4" x14ac:dyDescent="0.3">
      <c r="A1980" s="18"/>
      <c r="B1980" s="19"/>
      <c r="C1980" s="19"/>
      <c r="D1980" s="22"/>
    </row>
    <row r="1981" spans="1:4" x14ac:dyDescent="0.3">
      <c r="A1981" s="18"/>
      <c r="B1981" s="19"/>
      <c r="C1981" s="19"/>
      <c r="D1981" s="22"/>
    </row>
    <row r="1982" spans="1:4" x14ac:dyDescent="0.3">
      <c r="A1982" s="18"/>
      <c r="B1982" s="19"/>
      <c r="C1982" s="19"/>
      <c r="D1982" s="22"/>
    </row>
    <row r="1983" spans="1:4" x14ac:dyDescent="0.3">
      <c r="A1983" s="18"/>
      <c r="B1983" s="19"/>
      <c r="C1983" s="19"/>
      <c r="D1983" s="22"/>
    </row>
    <row r="1984" spans="1:4" x14ac:dyDescent="0.3">
      <c r="A1984" s="18"/>
      <c r="B1984" s="19"/>
      <c r="C1984" s="19"/>
      <c r="D1984" s="22"/>
    </row>
    <row r="1985" spans="1:4" x14ac:dyDescent="0.3">
      <c r="A1985" s="18"/>
      <c r="B1985" s="19"/>
      <c r="C1985" s="19"/>
      <c r="D1985" s="22"/>
    </row>
    <row r="1986" spans="1:4" x14ac:dyDescent="0.3">
      <c r="A1986" s="18"/>
      <c r="B1986" s="19"/>
      <c r="C1986" s="19"/>
      <c r="D1986" s="22"/>
    </row>
    <row r="1987" spans="1:4" x14ac:dyDescent="0.3">
      <c r="A1987" s="18"/>
      <c r="B1987" s="19"/>
      <c r="C1987" s="19"/>
      <c r="D1987" s="22"/>
    </row>
    <row r="1988" spans="1:4" x14ac:dyDescent="0.3">
      <c r="A1988" s="18"/>
      <c r="B1988" s="19"/>
      <c r="C1988" s="19"/>
      <c r="D1988" s="22"/>
    </row>
    <row r="1989" spans="1:4" x14ac:dyDescent="0.3">
      <c r="A1989" s="18"/>
      <c r="B1989" s="19"/>
      <c r="C1989" s="19"/>
      <c r="D1989" s="22"/>
    </row>
    <row r="1990" spans="1:4" x14ac:dyDescent="0.3">
      <c r="A1990" s="18"/>
      <c r="B1990" s="19"/>
      <c r="C1990" s="19"/>
      <c r="D1990" s="22"/>
    </row>
    <row r="1991" spans="1:4" x14ac:dyDescent="0.3">
      <c r="A1991" s="18"/>
      <c r="B1991" s="19"/>
      <c r="C1991" s="19"/>
      <c r="D1991" s="22"/>
    </row>
    <row r="1992" spans="1:4" x14ac:dyDescent="0.3">
      <c r="A1992" s="18"/>
      <c r="B1992" s="19"/>
      <c r="C1992" s="19"/>
      <c r="D1992" s="22"/>
    </row>
    <row r="1993" spans="1:4" x14ac:dyDescent="0.3">
      <c r="A1993" s="18"/>
      <c r="B1993" s="19"/>
      <c r="C1993" s="19"/>
      <c r="D1993" s="22"/>
    </row>
    <row r="1994" spans="1:4" x14ac:dyDescent="0.3">
      <c r="A1994" s="18"/>
      <c r="B1994" s="19"/>
      <c r="C1994" s="19"/>
      <c r="D1994" s="22"/>
    </row>
    <row r="1995" spans="1:4" x14ac:dyDescent="0.3">
      <c r="A1995" s="18"/>
      <c r="B1995" s="19"/>
      <c r="C1995" s="19"/>
      <c r="D1995" s="22"/>
    </row>
    <row r="1996" spans="1:4" x14ac:dyDescent="0.3">
      <c r="A1996" s="18"/>
      <c r="B1996" s="19"/>
      <c r="C1996" s="19"/>
      <c r="D1996" s="22"/>
    </row>
    <row r="1997" spans="1:4" x14ac:dyDescent="0.3">
      <c r="A1997" s="18"/>
      <c r="B1997" s="19"/>
      <c r="C1997" s="19"/>
      <c r="D1997" s="22"/>
    </row>
    <row r="1998" spans="1:4" x14ac:dyDescent="0.3">
      <c r="A1998" s="18"/>
      <c r="B1998" s="19"/>
      <c r="C1998" s="19"/>
      <c r="D1998" s="22"/>
    </row>
    <row r="1999" spans="1:4" x14ac:dyDescent="0.3">
      <c r="A1999" s="18"/>
      <c r="B1999" s="19"/>
      <c r="C1999" s="19"/>
      <c r="D1999" s="22"/>
    </row>
    <row r="2000" spans="1:4" x14ac:dyDescent="0.3">
      <c r="A2000" s="18"/>
      <c r="B2000" s="19"/>
      <c r="C2000" s="19"/>
      <c r="D2000" s="22"/>
    </row>
    <row r="2001" spans="1:4" x14ac:dyDescent="0.3">
      <c r="A2001" s="18"/>
      <c r="B2001" s="19"/>
      <c r="C2001" s="19"/>
      <c r="D2001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B2116-5419-4D2E-ACC1-C1C47134F0DF}">
  <sheetPr codeName="Sheet7"/>
  <dimension ref="A1:G101"/>
  <sheetViews>
    <sheetView showGridLines="0" workbookViewId="0"/>
  </sheetViews>
  <sheetFormatPr defaultRowHeight="14.4" x14ac:dyDescent="0.3"/>
  <cols>
    <col min="1" max="1" width="9.5546875" bestFit="1" customWidth="1"/>
    <col min="2" max="2" width="7" style="14" bestFit="1" customWidth="1"/>
    <col min="3" max="4" width="7.6640625" style="14" bestFit="1" customWidth="1"/>
    <col min="5" max="5" width="16.5546875" style="14" bestFit="1" customWidth="1"/>
    <col min="6" max="7" width="18.6640625" style="14" bestFit="1" customWidth="1"/>
    <col min="8" max="16384" width="8.88671875" style="14"/>
  </cols>
  <sheetData>
    <row r="1" spans="1:7" customFormat="1" x14ac:dyDescent="0.3">
      <c r="A1" s="7" t="s">
        <v>8</v>
      </c>
      <c r="B1" s="27" t="s">
        <v>38</v>
      </c>
      <c r="C1" s="27" t="s">
        <v>40</v>
      </c>
      <c r="D1" s="27" t="s">
        <v>41</v>
      </c>
      <c r="E1" s="27" t="s">
        <v>49</v>
      </c>
      <c r="F1" s="27" t="s">
        <v>50</v>
      </c>
      <c r="G1" s="32"/>
    </row>
    <row r="2" spans="1:7" x14ac:dyDescent="0.3">
      <c r="A2" s="8">
        <v>43880</v>
      </c>
      <c r="B2" s="30">
        <v>1</v>
      </c>
      <c r="C2" s="30">
        <v>1</v>
      </c>
      <c r="D2" s="30">
        <v>1</v>
      </c>
      <c r="E2" s="30">
        <v>1</v>
      </c>
      <c r="F2" s="30">
        <v>1</v>
      </c>
      <c r="G2" s="21"/>
    </row>
    <row r="3" spans="1:7" x14ac:dyDescent="0.3">
      <c r="A3" s="8">
        <v>43881</v>
      </c>
      <c r="B3" s="30">
        <v>1</v>
      </c>
      <c r="C3" s="30">
        <v>0.99023673443405569</v>
      </c>
      <c r="D3" s="30">
        <v>0.99204513073567224</v>
      </c>
      <c r="E3" s="30">
        <v>0.9165758617095312</v>
      </c>
      <c r="F3" s="30">
        <v>0.96073179909263029</v>
      </c>
      <c r="G3" s="21"/>
    </row>
    <row r="4" spans="1:7" x14ac:dyDescent="0.3">
      <c r="A4" s="8">
        <v>43882</v>
      </c>
      <c r="B4" s="30">
        <v>1</v>
      </c>
      <c r="C4" s="30">
        <v>0.97705633446286688</v>
      </c>
      <c r="D4" s="30">
        <v>0.97994696911501955</v>
      </c>
      <c r="E4" s="30">
        <v>0.95647275039270963</v>
      </c>
      <c r="F4" s="30">
        <v>0.97987649210082206</v>
      </c>
      <c r="G4" s="21"/>
    </row>
    <row r="5" spans="1:7" x14ac:dyDescent="0.3">
      <c r="A5" s="8">
        <v>43885</v>
      </c>
      <c r="B5" s="30">
        <v>1</v>
      </c>
      <c r="C5" s="30">
        <v>0.94556995495313745</v>
      </c>
      <c r="D5" s="30">
        <v>0.93404045685064541</v>
      </c>
      <c r="E5" s="30">
        <v>1.0213577970503478</v>
      </c>
      <c r="F5" s="30">
        <v>1.0097691239136466</v>
      </c>
      <c r="G5" s="21"/>
    </row>
    <row r="6" spans="1:7" x14ac:dyDescent="0.3">
      <c r="A6" s="8">
        <v>43886</v>
      </c>
      <c r="B6" s="30">
        <v>1</v>
      </c>
      <c r="C6" s="30">
        <v>0.91628020707151048</v>
      </c>
      <c r="D6" s="30">
        <v>0.89824330019687193</v>
      </c>
      <c r="E6" s="30">
        <v>0.95471058240625661</v>
      </c>
      <c r="F6" s="30">
        <v>0.9791504862440733</v>
      </c>
      <c r="G6" s="21"/>
    </row>
    <row r="7" spans="1:7" x14ac:dyDescent="0.3">
      <c r="A7" s="8">
        <v>43887</v>
      </c>
      <c r="B7" s="30">
        <v>1</v>
      </c>
      <c r="C7" s="30">
        <v>0.90944586503671299</v>
      </c>
      <c r="D7" s="30">
        <v>0.87852171445478067</v>
      </c>
      <c r="E7" s="30">
        <v>0.94770703342966933</v>
      </c>
      <c r="F7" s="30">
        <v>0.97586314645338335</v>
      </c>
      <c r="G7" s="21"/>
    </row>
    <row r="8" spans="1:7" x14ac:dyDescent="0.3">
      <c r="A8" s="8">
        <v>43888</v>
      </c>
      <c r="B8" s="30">
        <v>1</v>
      </c>
      <c r="C8" s="30">
        <v>0.9521600451022687</v>
      </c>
      <c r="D8" s="30">
        <v>0.82565461767247794</v>
      </c>
      <c r="E8" s="30">
        <v>0.94575541079054481</v>
      </c>
      <c r="F8" s="30">
        <v>0.97496322710652661</v>
      </c>
      <c r="G8" s="21"/>
    </row>
    <row r="9" spans="1:7" x14ac:dyDescent="0.3">
      <c r="A9" s="8">
        <v>43889</v>
      </c>
      <c r="B9" s="30">
        <v>1</v>
      </c>
      <c r="C9" s="30">
        <v>0.95704169008929241</v>
      </c>
      <c r="D9" s="30">
        <v>0.85250248516280813</v>
      </c>
      <c r="E9" s="30">
        <v>0.92128738347738415</v>
      </c>
      <c r="F9" s="30">
        <v>0.9632472399732559</v>
      </c>
      <c r="G9" s="21"/>
    </row>
    <row r="10" spans="1:7" x14ac:dyDescent="0.3">
      <c r="A10" s="8">
        <v>43892</v>
      </c>
      <c r="B10" s="30">
        <v>1</v>
      </c>
      <c r="C10" s="30">
        <v>0.99463019295508426</v>
      </c>
      <c r="D10" s="30">
        <v>0.89294005965201662</v>
      </c>
      <c r="E10" s="30">
        <v>1.0250599086449319</v>
      </c>
      <c r="F10" s="30">
        <v>1.0115839424770314</v>
      </c>
      <c r="G10" s="21"/>
    </row>
    <row r="11" spans="1:7" x14ac:dyDescent="0.3">
      <c r="A11" s="8">
        <v>43893</v>
      </c>
      <c r="B11" s="30">
        <v>1</v>
      </c>
      <c r="C11" s="30">
        <v>0.95826207082591963</v>
      </c>
      <c r="D11" s="30">
        <v>0.85018230158622488</v>
      </c>
      <c r="E11" s="30">
        <v>0.91801389225269869</v>
      </c>
      <c r="F11" s="30">
        <v>0.96177134449020074</v>
      </c>
      <c r="G11" s="21"/>
    </row>
    <row r="12" spans="1:7" x14ac:dyDescent="0.3">
      <c r="A12" s="8">
        <v>43894</v>
      </c>
      <c r="B12" s="30">
        <v>1</v>
      </c>
      <c r="C12" s="30">
        <v>0.97119843858436794</v>
      </c>
      <c r="D12" s="30">
        <v>0.86874373641071112</v>
      </c>
      <c r="E12" s="30">
        <v>1.0624122227059083</v>
      </c>
      <c r="F12" s="30">
        <v>1.0280792655087732</v>
      </c>
      <c r="G12" s="21"/>
    </row>
    <row r="13" spans="1:7" x14ac:dyDescent="0.3">
      <c r="A13" s="8">
        <v>43895</v>
      </c>
      <c r="B13" s="30">
        <v>1</v>
      </c>
      <c r="C13" s="30">
        <v>0.95093966436564159</v>
      </c>
      <c r="D13" s="30">
        <v>0.83046071584413372</v>
      </c>
      <c r="E13" s="30">
        <v>0.98731073850272688</v>
      </c>
      <c r="F13" s="30">
        <v>0.99455758402060845</v>
      </c>
      <c r="G13" s="21"/>
    </row>
    <row r="14" spans="1:7" x14ac:dyDescent="0.3">
      <c r="A14" s="8">
        <v>43896</v>
      </c>
      <c r="B14" s="30">
        <v>1</v>
      </c>
      <c r="C14" s="30">
        <v>0.95582130935266507</v>
      </c>
      <c r="D14" s="30">
        <v>0.79035465407417271</v>
      </c>
      <c r="E14" s="30">
        <v>1.1319513277353721</v>
      </c>
      <c r="F14" s="30">
        <v>1.0576030198370128</v>
      </c>
      <c r="G14" s="21"/>
    </row>
    <row r="15" spans="1:7" x14ac:dyDescent="0.3">
      <c r="A15" s="8">
        <v>43899</v>
      </c>
      <c r="B15" s="30">
        <v>1</v>
      </c>
      <c r="C15" s="30">
        <v>0.91017818134785966</v>
      </c>
      <c r="D15" s="30">
        <v>0.69373553137376875</v>
      </c>
      <c r="E15" s="30">
        <v>1.0184050550849295</v>
      </c>
      <c r="F15" s="30">
        <v>1.008765296993076</v>
      </c>
      <c r="G15" s="21"/>
    </row>
    <row r="16" spans="1:7" x14ac:dyDescent="0.3">
      <c r="A16" s="8">
        <v>43900</v>
      </c>
      <c r="B16" s="30">
        <v>1</v>
      </c>
      <c r="C16" s="30">
        <v>0.95118379421079335</v>
      </c>
      <c r="D16" s="30">
        <v>0.71942324794649382</v>
      </c>
      <c r="E16" s="30">
        <v>0.92577010117142755</v>
      </c>
      <c r="F16" s="30">
        <v>0.96572371988616534</v>
      </c>
      <c r="G16" s="21"/>
    </row>
    <row r="17" spans="1:7" x14ac:dyDescent="0.3">
      <c r="A17" s="8">
        <v>43901</v>
      </c>
      <c r="B17" s="30">
        <v>1</v>
      </c>
      <c r="C17" s="30">
        <v>0.89675374916393091</v>
      </c>
      <c r="D17" s="30">
        <v>0.69572420223110443</v>
      </c>
      <c r="E17" s="30">
        <v>1.0002628903077011</v>
      </c>
      <c r="F17" s="30">
        <v>1.0006219382583976</v>
      </c>
      <c r="G17" s="21"/>
    </row>
    <row r="18" spans="1:7" x14ac:dyDescent="0.3">
      <c r="A18" s="8">
        <v>43902</v>
      </c>
      <c r="B18" s="30">
        <v>1</v>
      </c>
      <c r="C18" s="30">
        <v>0.8982181621132983</v>
      </c>
      <c r="D18" s="30">
        <v>0.61617501965922961</v>
      </c>
      <c r="E18" s="30">
        <v>1.0121549579536888</v>
      </c>
      <c r="F18" s="30">
        <v>1.0060260024060454</v>
      </c>
      <c r="G18" s="21"/>
    </row>
    <row r="19" spans="1:7" x14ac:dyDescent="0.3">
      <c r="A19" s="8">
        <v>43903</v>
      </c>
      <c r="B19" s="30">
        <v>1</v>
      </c>
      <c r="C19" s="30">
        <v>0.88113246567897319</v>
      </c>
      <c r="D19" s="30">
        <v>0.63175339751544368</v>
      </c>
      <c r="E19" s="30">
        <v>1.1353816046134273</v>
      </c>
      <c r="F19" s="30">
        <v>1.0591368947296662</v>
      </c>
      <c r="G19" s="21"/>
    </row>
    <row r="20" spans="1:7" x14ac:dyDescent="0.3">
      <c r="A20" s="8">
        <v>43906</v>
      </c>
      <c r="B20" s="30">
        <v>1</v>
      </c>
      <c r="C20" s="30">
        <v>0.76885524118000381</v>
      </c>
      <c r="D20" s="30">
        <v>0.57159435554277094</v>
      </c>
      <c r="E20" s="30">
        <v>1.2775180656599832</v>
      </c>
      <c r="F20" s="30">
        <v>1.1152338076511814</v>
      </c>
      <c r="G20" s="21"/>
    </row>
    <row r="21" spans="1:7" x14ac:dyDescent="0.3">
      <c r="A21" s="8">
        <v>43907</v>
      </c>
      <c r="B21" s="30">
        <v>1</v>
      </c>
      <c r="C21" s="30">
        <v>0.78862582893273536</v>
      </c>
      <c r="D21" s="30">
        <v>0.61004314091601675</v>
      </c>
      <c r="E21" s="30">
        <v>0.91254726287593146</v>
      </c>
      <c r="F21" s="30">
        <v>0.95951035787066907</v>
      </c>
      <c r="G21" s="21"/>
    </row>
    <row r="22" spans="1:7" x14ac:dyDescent="0.3">
      <c r="A22" s="8">
        <v>43908</v>
      </c>
      <c r="B22" s="30">
        <v>1</v>
      </c>
      <c r="C22" s="30">
        <v>0.67634850680135439</v>
      </c>
      <c r="D22" s="30">
        <v>0.54888964525604933</v>
      </c>
      <c r="E22" s="30">
        <v>1.225439406436813</v>
      </c>
      <c r="F22" s="30">
        <v>1.095292776059402</v>
      </c>
      <c r="G22" s="21"/>
    </row>
    <row r="23" spans="1:7" x14ac:dyDescent="0.3">
      <c r="A23" s="8">
        <v>43909</v>
      </c>
      <c r="B23" s="30">
        <v>1</v>
      </c>
      <c r="C23" s="30">
        <v>0.73224308683809891</v>
      </c>
      <c r="D23" s="30">
        <v>0.57059996943183433</v>
      </c>
      <c r="E23" s="30">
        <v>1.0942656041959697</v>
      </c>
      <c r="F23" s="30">
        <v>1.0420458008258804</v>
      </c>
      <c r="G23" s="21"/>
    </row>
    <row r="24" spans="1:7" x14ac:dyDescent="0.3">
      <c r="A24" s="8">
        <v>43910</v>
      </c>
      <c r="B24" s="30">
        <v>1</v>
      </c>
      <c r="C24" s="30">
        <v>0.72345614538793879</v>
      </c>
      <c r="D24" s="30">
        <v>0.54259200170616795</v>
      </c>
      <c r="E24" s="30">
        <v>1.238623718431858</v>
      </c>
      <c r="F24" s="30">
        <v>1.100426104411262</v>
      </c>
      <c r="G24" s="21"/>
    </row>
    <row r="25" spans="1:7" x14ac:dyDescent="0.3">
      <c r="A25" s="8">
        <v>43913</v>
      </c>
      <c r="B25" s="30">
        <v>1</v>
      </c>
      <c r="C25" s="30">
        <v>0.83329260841365371</v>
      </c>
      <c r="D25" s="30">
        <v>0.52121315646145117</v>
      </c>
      <c r="E25" s="30">
        <v>1.2292065208432768</v>
      </c>
      <c r="F25" s="30">
        <v>1.0968138174991329</v>
      </c>
      <c r="G25" s="21"/>
    </row>
    <row r="26" spans="1:7" x14ac:dyDescent="0.3">
      <c r="A26" s="8">
        <v>43914</v>
      </c>
      <c r="B26" s="30">
        <v>1</v>
      </c>
      <c r="C26" s="30">
        <v>0.83353676266690835</v>
      </c>
      <c r="D26" s="30">
        <v>0.58733841373520568</v>
      </c>
      <c r="E26" s="30">
        <v>0.98438788115969134</v>
      </c>
      <c r="F26" s="30">
        <v>0.99368576794701424</v>
      </c>
      <c r="G26" s="21"/>
    </row>
    <row r="27" spans="1:7" x14ac:dyDescent="0.3">
      <c r="A27" s="8">
        <v>43915</v>
      </c>
      <c r="B27" s="30">
        <v>1</v>
      </c>
      <c r="C27" s="30">
        <v>0.83060771709524717</v>
      </c>
      <c r="D27" s="30">
        <v>0.6179980101803445</v>
      </c>
      <c r="E27" s="30">
        <v>1.2747773050008993</v>
      </c>
      <c r="F27" s="30">
        <v>1.1142765365330753</v>
      </c>
      <c r="G27" s="21"/>
    </row>
    <row r="28" spans="1:7" x14ac:dyDescent="0.3">
      <c r="A28" s="8">
        <v>43916</v>
      </c>
      <c r="B28" s="30">
        <v>1</v>
      </c>
      <c r="C28" s="30">
        <v>0.89480105211615679</v>
      </c>
      <c r="D28" s="30">
        <v>0.64335434918653867</v>
      </c>
      <c r="E28" s="30">
        <v>1.016052840009926</v>
      </c>
      <c r="F28" s="30">
        <v>1.0081032522334099</v>
      </c>
      <c r="G28" s="21"/>
    </row>
    <row r="29" spans="1:7" x14ac:dyDescent="0.3">
      <c r="A29" s="8">
        <v>43917</v>
      </c>
      <c r="B29" s="30">
        <v>1</v>
      </c>
      <c r="C29" s="30">
        <v>0.88503776214210972</v>
      </c>
      <c r="D29" s="30">
        <v>0.61236330759851032</v>
      </c>
      <c r="E29" s="30">
        <v>1.1289442459125572</v>
      </c>
      <c r="F29" s="30">
        <v>1.05671137153394</v>
      </c>
      <c r="G29" s="21"/>
    </row>
    <row r="30" spans="1:7" x14ac:dyDescent="0.3">
      <c r="A30" s="8">
        <v>43920</v>
      </c>
      <c r="B30" s="30">
        <v>1</v>
      </c>
      <c r="C30" s="30">
        <v>0.89089575565302026</v>
      </c>
      <c r="D30" s="30">
        <v>0.62147827709817449</v>
      </c>
      <c r="E30" s="30">
        <v>1.0087245471200064</v>
      </c>
      <c r="F30" s="30">
        <v>1.0049035024922239</v>
      </c>
      <c r="G30" s="21"/>
    </row>
    <row r="31" spans="1:7" x14ac:dyDescent="0.3">
      <c r="A31" s="8">
        <v>43921</v>
      </c>
      <c r="B31" s="30">
        <v>1</v>
      </c>
      <c r="C31" s="30">
        <v>0.87332189716080288</v>
      </c>
      <c r="D31" s="30">
        <v>0.62926751670855019</v>
      </c>
      <c r="E31" s="30">
        <v>1.0539345377644183</v>
      </c>
      <c r="F31" s="30">
        <v>1.0249535544196251</v>
      </c>
      <c r="G31" s="21"/>
    </row>
    <row r="32" spans="1:7" x14ac:dyDescent="0.3">
      <c r="A32" s="8">
        <v>43922</v>
      </c>
      <c r="B32" s="30">
        <v>1</v>
      </c>
      <c r="C32" s="30">
        <v>0.83304857620091333</v>
      </c>
      <c r="D32" s="30">
        <v>0.62197547015364285</v>
      </c>
      <c r="E32" s="30">
        <v>1.3239329435540879</v>
      </c>
      <c r="F32" s="30">
        <v>1.1326133634204891</v>
      </c>
      <c r="G32" s="21"/>
    </row>
    <row r="33" spans="1:7" x14ac:dyDescent="0.3">
      <c r="A33" s="8">
        <v>43923</v>
      </c>
      <c r="B33" s="30">
        <v>1</v>
      </c>
      <c r="C33" s="30">
        <v>0.82889914989262514</v>
      </c>
      <c r="D33" s="30">
        <v>0.66953934328517983</v>
      </c>
      <c r="E33" s="30">
        <v>1.1130991079733275</v>
      </c>
      <c r="F33" s="30">
        <v>1.0502290072178642</v>
      </c>
      <c r="G33" s="21"/>
    </row>
    <row r="34" spans="1:7" x14ac:dyDescent="0.3">
      <c r="A34" s="8">
        <v>43924</v>
      </c>
      <c r="B34" s="30">
        <v>1</v>
      </c>
      <c r="C34" s="30">
        <v>0.83597752414016291</v>
      </c>
      <c r="D34" s="30">
        <v>0.64981768996673017</v>
      </c>
      <c r="E34" s="30">
        <v>1.0619262921397077</v>
      </c>
      <c r="F34" s="30">
        <v>1.0284870950857083</v>
      </c>
      <c r="G34" s="21"/>
    </row>
    <row r="35" spans="1:7" x14ac:dyDescent="0.3">
      <c r="A35" s="8">
        <v>43927</v>
      </c>
      <c r="B35" s="30">
        <v>1</v>
      </c>
      <c r="C35" s="30">
        <v>0.85257503410849311</v>
      </c>
      <c r="D35" s="30">
        <v>0.67069942662642656</v>
      </c>
      <c r="E35" s="30">
        <v>1.0388031338904626</v>
      </c>
      <c r="F35" s="30">
        <v>1.0184573895332245</v>
      </c>
      <c r="G35" s="21"/>
    </row>
    <row r="36" spans="1:7" x14ac:dyDescent="0.3">
      <c r="A36" s="8">
        <v>43928</v>
      </c>
      <c r="B36" s="30">
        <v>1</v>
      </c>
      <c r="C36" s="30">
        <v>0.85745667909551659</v>
      </c>
      <c r="D36" s="30">
        <v>0.68346041095649956</v>
      </c>
      <c r="E36" s="30">
        <v>1.243633032801633</v>
      </c>
      <c r="F36" s="30">
        <v>1.1025452133668212</v>
      </c>
      <c r="G36" s="21"/>
    </row>
    <row r="37" spans="1:7" x14ac:dyDescent="0.3">
      <c r="A37" s="8">
        <v>43929</v>
      </c>
      <c r="B37" s="30">
        <v>1</v>
      </c>
      <c r="C37" s="30">
        <v>0.89919451063718536</v>
      </c>
      <c r="D37" s="30">
        <v>0.72671522692504309</v>
      </c>
      <c r="E37" s="30">
        <v>1.0405120485005521</v>
      </c>
      <c r="F37" s="30">
        <v>1.0192529398529615</v>
      </c>
      <c r="G37" s="21"/>
    </row>
    <row r="38" spans="1:7" x14ac:dyDescent="0.3">
      <c r="A38" s="8">
        <v>43930</v>
      </c>
      <c r="B38" s="30">
        <v>1</v>
      </c>
      <c r="C38" s="30">
        <v>0.9189651227980199</v>
      </c>
      <c r="D38" s="30">
        <v>0.7147828976874171</v>
      </c>
      <c r="E38" s="30">
        <v>1.2087501106772833</v>
      </c>
      <c r="F38" s="30">
        <v>1.0890356808351003</v>
      </c>
      <c r="G38" s="21"/>
    </row>
    <row r="39" spans="1:7" x14ac:dyDescent="0.3">
      <c r="A39" s="8">
        <v>43934</v>
      </c>
      <c r="B39" s="30">
        <v>1</v>
      </c>
      <c r="C39" s="30">
        <v>0.92994867146817972</v>
      </c>
      <c r="D39" s="30">
        <v>0.70865093447375649</v>
      </c>
      <c r="E39" s="30">
        <v>0.95358133126071642</v>
      </c>
      <c r="F39" s="30">
        <v>0.97989282275694378</v>
      </c>
      <c r="G39" s="21"/>
    </row>
    <row r="40" spans="1:7" x14ac:dyDescent="0.3">
      <c r="A40" s="8">
        <v>43935</v>
      </c>
      <c r="B40" s="30">
        <v>1</v>
      </c>
      <c r="C40" s="30">
        <v>0.96802536079996671</v>
      </c>
      <c r="D40" s="30">
        <v>0.70318199669859083</v>
      </c>
      <c r="E40" s="30">
        <v>1.1121023839671493</v>
      </c>
      <c r="F40" s="30">
        <v>1.0500276185912372</v>
      </c>
      <c r="G40" s="21"/>
    </row>
    <row r="41" spans="1:7" x14ac:dyDescent="0.3">
      <c r="A41" s="8">
        <v>43936</v>
      </c>
      <c r="B41" s="30">
        <v>1</v>
      </c>
      <c r="C41" s="30">
        <v>0.97022209006048099</v>
      </c>
      <c r="D41" s="30">
        <v>0.6708651238567368</v>
      </c>
      <c r="E41" s="30">
        <v>0.99080262774245098</v>
      </c>
      <c r="F41" s="30">
        <v>0.99716786546296188</v>
      </c>
      <c r="G41" s="21"/>
    </row>
    <row r="42" spans="1:7" x14ac:dyDescent="0.3">
      <c r="A42" s="8">
        <v>43937</v>
      </c>
      <c r="B42" s="30">
        <v>1</v>
      </c>
      <c r="C42" s="30">
        <v>0.87551862642131739</v>
      </c>
      <c r="D42" s="30">
        <v>0.6488233545380625</v>
      </c>
      <c r="E42" s="30">
        <v>1.0959659322205424</v>
      </c>
      <c r="F42" s="30">
        <v>1.0432929105767657</v>
      </c>
      <c r="G42" s="21"/>
    </row>
    <row r="43" spans="1:7" x14ac:dyDescent="0.3">
      <c r="A43" s="8">
        <v>43938</v>
      </c>
      <c r="B43" s="30">
        <v>1</v>
      </c>
      <c r="C43" s="30">
        <v>0.89699778137667108</v>
      </c>
      <c r="D43" s="30">
        <v>0.71627449374791141</v>
      </c>
      <c r="E43" s="30">
        <v>1.164706233695854</v>
      </c>
      <c r="F43" s="30">
        <v>1.0716435995350488</v>
      </c>
      <c r="G43" s="21"/>
    </row>
    <row r="44" spans="1:7" x14ac:dyDescent="0.3">
      <c r="A44" s="8">
        <v>43941</v>
      </c>
      <c r="B44" s="30">
        <v>1</v>
      </c>
      <c r="C44" s="30">
        <v>0.88894305860524625</v>
      </c>
      <c r="D44" s="30">
        <v>0.68246600795147361</v>
      </c>
      <c r="E44" s="30">
        <v>1.196115628118011</v>
      </c>
      <c r="F44" s="30">
        <v>1.0842074463463334</v>
      </c>
      <c r="G44" s="21"/>
    </row>
    <row r="45" spans="1:7" x14ac:dyDescent="0.3">
      <c r="A45" s="8">
        <v>43942</v>
      </c>
      <c r="B45" s="30">
        <v>1</v>
      </c>
      <c r="C45" s="30">
        <v>0.87039294922155352</v>
      </c>
      <c r="D45" s="30">
        <v>0.67881999312106467</v>
      </c>
      <c r="E45" s="30">
        <v>1.3026249154500966</v>
      </c>
      <c r="F45" s="30">
        <v>1.1248972065310423</v>
      </c>
      <c r="G45" s="21"/>
    </row>
    <row r="46" spans="1:7" x14ac:dyDescent="0.3">
      <c r="A46" s="8">
        <v>43943</v>
      </c>
      <c r="B46" s="30">
        <v>1</v>
      </c>
      <c r="C46" s="30">
        <v>0.8982181621132983</v>
      </c>
      <c r="D46" s="30">
        <v>0.69821020129662481</v>
      </c>
      <c r="E46" s="30">
        <v>1.088600354199154</v>
      </c>
      <c r="F46" s="30">
        <v>1.0402929529335403</v>
      </c>
      <c r="G46" s="21"/>
    </row>
    <row r="47" spans="1:7" x14ac:dyDescent="0.3">
      <c r="A47" s="8">
        <v>43944</v>
      </c>
      <c r="B47" s="30">
        <v>1</v>
      </c>
      <c r="C47" s="30">
        <v>0.92311445147389659</v>
      </c>
      <c r="D47" s="30">
        <v>0.7200862058086307</v>
      </c>
      <c r="E47" s="30">
        <v>1.0992776415739789</v>
      </c>
      <c r="F47" s="30">
        <v>1.0448195785033141</v>
      </c>
      <c r="G47" s="21"/>
    </row>
    <row r="48" spans="1:7" x14ac:dyDescent="0.3">
      <c r="A48" s="8">
        <v>43945</v>
      </c>
      <c r="B48" s="30">
        <v>1</v>
      </c>
      <c r="C48" s="30">
        <v>0.9633878456580951</v>
      </c>
      <c r="D48" s="30">
        <v>0.72472657296179699</v>
      </c>
      <c r="E48" s="30">
        <v>1.1355570347460167</v>
      </c>
      <c r="F48" s="30">
        <v>1.0599058438515074</v>
      </c>
      <c r="G48" s="21"/>
    </row>
    <row r="49" spans="1:7" x14ac:dyDescent="0.3">
      <c r="A49" s="8">
        <v>43948</v>
      </c>
      <c r="B49" s="30">
        <v>1</v>
      </c>
      <c r="C49" s="30">
        <v>1.0214790573229422</v>
      </c>
      <c r="D49" s="30">
        <v>0.72820683987962698</v>
      </c>
      <c r="E49" s="30">
        <v>1.1128773432354091</v>
      </c>
      <c r="F49" s="30">
        <v>1.050584253858424</v>
      </c>
      <c r="G49" s="21"/>
    </row>
    <row r="50" spans="1:7" x14ac:dyDescent="0.3">
      <c r="A50" s="8">
        <v>43949</v>
      </c>
      <c r="B50" s="30">
        <v>1</v>
      </c>
      <c r="C50" s="30">
        <v>1.0043934829291314</v>
      </c>
      <c r="D50" s="30">
        <v>0.74527679690224569</v>
      </c>
      <c r="E50" s="30">
        <v>1.0859579839689131</v>
      </c>
      <c r="F50" s="30">
        <v>1.0392890605438616</v>
      </c>
      <c r="G50" s="21"/>
    </row>
    <row r="51" spans="1:7" x14ac:dyDescent="0.3">
      <c r="A51" s="8">
        <v>43950</v>
      </c>
      <c r="B51" s="30">
        <v>1</v>
      </c>
      <c r="C51" s="30">
        <v>1.0256284836312304</v>
      </c>
      <c r="D51" s="30">
        <v>0.78654294201345354</v>
      </c>
      <c r="E51" s="30">
        <v>1.1340473115012788</v>
      </c>
      <c r="F51" s="30">
        <v>1.0593700609799834</v>
      </c>
      <c r="G51" s="21"/>
    </row>
    <row r="52" spans="1:7" x14ac:dyDescent="0.3">
      <c r="A52" s="8">
        <v>43951</v>
      </c>
      <c r="B52" s="30">
        <v>1</v>
      </c>
      <c r="C52" s="30">
        <v>1.0434463987442908</v>
      </c>
      <c r="D52" s="30">
        <v>0.77013594285297149</v>
      </c>
      <c r="E52" s="30">
        <v>1.0626365058721219</v>
      </c>
      <c r="F52" s="30">
        <v>1.0293547832793091</v>
      </c>
      <c r="G52" s="21"/>
    </row>
    <row r="53" spans="1:7" x14ac:dyDescent="0.3">
      <c r="A53" s="8">
        <v>43952</v>
      </c>
      <c r="B53" s="30">
        <v>1</v>
      </c>
      <c r="C53" s="30">
        <v>1.0339272630234984</v>
      </c>
      <c r="D53" s="30">
        <v>0.71494864559999605</v>
      </c>
      <c r="E53" s="30">
        <v>1.3279179170952367</v>
      </c>
      <c r="F53" s="30">
        <v>1.1342435027741475</v>
      </c>
      <c r="G53" s="21"/>
    </row>
    <row r="54" spans="1:7" x14ac:dyDescent="0.3">
      <c r="A54" s="8">
        <v>43955</v>
      </c>
      <c r="B54" s="30">
        <v>1</v>
      </c>
      <c r="C54" s="30">
        <v>1.068830850162781</v>
      </c>
      <c r="D54" s="30">
        <v>0.74378526841810944</v>
      </c>
      <c r="E54" s="30">
        <v>1.0489753364905172</v>
      </c>
      <c r="F54" s="30">
        <v>1.0235208842461696</v>
      </c>
      <c r="G54" s="21"/>
    </row>
    <row r="55" spans="1:7" x14ac:dyDescent="0.3">
      <c r="A55" s="8">
        <v>43956</v>
      </c>
      <c r="B55" s="30">
        <v>1</v>
      </c>
      <c r="C55" s="30">
        <v>1.4137172708392172</v>
      </c>
      <c r="D55" s="30">
        <v>0.74295661332566265</v>
      </c>
      <c r="E55" s="30">
        <v>1.0621010907435005</v>
      </c>
      <c r="F55" s="30">
        <v>1.0292282047485792</v>
      </c>
      <c r="G55" s="21"/>
    </row>
    <row r="56" spans="1:7" x14ac:dyDescent="0.3">
      <c r="A56" s="8">
        <v>43957</v>
      </c>
      <c r="B56" s="30">
        <v>1</v>
      </c>
      <c r="C56" s="30">
        <v>1.4742494636502448</v>
      </c>
      <c r="D56" s="30">
        <v>0.72903547807798441</v>
      </c>
      <c r="E56" s="30">
        <v>1.1858595626206438</v>
      </c>
      <c r="F56" s="30">
        <v>1.0803686657544529</v>
      </c>
      <c r="G56" s="21"/>
    </row>
    <row r="57" spans="1:7" x14ac:dyDescent="0.3">
      <c r="A57" s="8">
        <v>43958</v>
      </c>
      <c r="B57" s="30">
        <v>1</v>
      </c>
      <c r="C57" s="30">
        <v>1.449597206502387</v>
      </c>
      <c r="D57" s="30">
        <v>0.73317870285795128</v>
      </c>
      <c r="E57" s="30">
        <v>1.3477662317593864</v>
      </c>
      <c r="F57" s="30">
        <v>1.1414566766408847</v>
      </c>
      <c r="G57" s="21"/>
    </row>
    <row r="58" spans="1:7" x14ac:dyDescent="0.3">
      <c r="A58" s="8">
        <v>43959</v>
      </c>
      <c r="B58" s="30">
        <v>1</v>
      </c>
      <c r="C58" s="30">
        <v>1.5408835601444089</v>
      </c>
      <c r="D58" s="30">
        <v>0.76532982778722614</v>
      </c>
      <c r="E58" s="30">
        <v>1.2760573681140508</v>
      </c>
      <c r="F58" s="30">
        <v>1.1151403416469319</v>
      </c>
      <c r="G58" s="21"/>
    </row>
    <row r="59" spans="1:7" x14ac:dyDescent="0.3">
      <c r="A59" s="8">
        <v>43962</v>
      </c>
      <c r="B59" s="30">
        <v>1</v>
      </c>
      <c r="C59" s="30">
        <v>1.4930436052466778</v>
      </c>
      <c r="D59" s="30">
        <v>0.75803784880867686</v>
      </c>
      <c r="E59" s="30">
        <v>1.0953528656899911</v>
      </c>
      <c r="F59" s="30">
        <v>1.0435085241249353</v>
      </c>
      <c r="G59" s="21"/>
    </row>
    <row r="60" spans="1:7" x14ac:dyDescent="0.3">
      <c r="A60" s="8">
        <v>43963</v>
      </c>
      <c r="B60" s="30">
        <v>1</v>
      </c>
      <c r="C60" s="30">
        <v>1.5111056502048901</v>
      </c>
      <c r="D60" s="30">
        <v>0.74536721406951945</v>
      </c>
      <c r="E60" s="30">
        <v>1.0604475973924847</v>
      </c>
      <c r="F60" s="30">
        <v>1.0286619185765054</v>
      </c>
      <c r="G60" s="21"/>
    </row>
    <row r="61" spans="1:7" x14ac:dyDescent="0.3">
      <c r="A61" s="8">
        <v>43964</v>
      </c>
      <c r="B61" s="30">
        <v>1</v>
      </c>
      <c r="C61" s="30">
        <v>1.5818890997830335</v>
      </c>
      <c r="D61" s="30">
        <v>0.70836917484823492</v>
      </c>
      <c r="E61" s="30">
        <v>1.3584010560484321</v>
      </c>
      <c r="F61" s="30">
        <v>1.145294404850957</v>
      </c>
      <c r="G61" s="21"/>
    </row>
    <row r="62" spans="1:7" x14ac:dyDescent="0.3">
      <c r="A62" s="8">
        <v>43965</v>
      </c>
      <c r="B62" s="30">
        <v>1</v>
      </c>
      <c r="C62" s="30">
        <v>1.593849192241904</v>
      </c>
      <c r="D62" s="30">
        <v>0.71461997108779296</v>
      </c>
      <c r="E62" s="30">
        <v>1.3942139610752466</v>
      </c>
      <c r="F62" s="30">
        <v>1.1579645413865225</v>
      </c>
      <c r="G62" s="21"/>
    </row>
    <row r="63" spans="1:7" x14ac:dyDescent="0.3">
      <c r="A63" s="8">
        <v>43966</v>
      </c>
      <c r="B63" s="30">
        <v>1</v>
      </c>
      <c r="C63" s="30">
        <v>1.6270442365866673</v>
      </c>
      <c r="D63" s="30">
        <v>0.70955176111676288</v>
      </c>
      <c r="E63" s="30">
        <v>1.2943201492471983</v>
      </c>
      <c r="F63" s="30">
        <v>1.1220010915763556</v>
      </c>
      <c r="G63" s="21"/>
    </row>
    <row r="64" spans="1:7" x14ac:dyDescent="0.3">
      <c r="A64" s="8">
        <v>43969</v>
      </c>
      <c r="B64" s="30">
        <v>1</v>
      </c>
      <c r="C64" s="30">
        <v>1.5181840244524281</v>
      </c>
      <c r="D64" s="30">
        <v>0.76597802021509587</v>
      </c>
      <c r="E64" s="30">
        <v>1.3396664559155487</v>
      </c>
      <c r="F64" s="30">
        <v>1.1385924569402242</v>
      </c>
      <c r="G64" s="21"/>
    </row>
    <row r="65" spans="1:7" x14ac:dyDescent="0.3">
      <c r="A65" s="8">
        <v>43970</v>
      </c>
      <c r="B65" s="30">
        <v>1</v>
      </c>
      <c r="C65" s="30">
        <v>1.4896264952495362</v>
      </c>
      <c r="D65" s="30">
        <v>0.7423262779504477</v>
      </c>
      <c r="E65" s="30">
        <v>1.3798790625455177</v>
      </c>
      <c r="F65" s="30">
        <v>1.1529381051934757</v>
      </c>
      <c r="G65" s="21"/>
    </row>
    <row r="66" spans="1:7" x14ac:dyDescent="0.3">
      <c r="A66" s="8">
        <v>43971</v>
      </c>
      <c r="B66" s="30">
        <v>1</v>
      </c>
      <c r="C66" s="30">
        <v>1.5379545145727478</v>
      </c>
      <c r="D66" s="30">
        <v>0.76648482600751833</v>
      </c>
      <c r="E66" s="30">
        <v>1.1626563953312283</v>
      </c>
      <c r="F66" s="30">
        <v>1.0713181249943911</v>
      </c>
      <c r="G66" s="21"/>
    </row>
    <row r="67" spans="1:7" x14ac:dyDescent="0.3">
      <c r="A67" s="8">
        <v>43972</v>
      </c>
      <c r="B67" s="30">
        <v>1</v>
      </c>
      <c r="C67" s="30">
        <v>1.5325848051602438</v>
      </c>
      <c r="D67" s="30">
        <v>0.75280064725987406</v>
      </c>
      <c r="E67" s="30">
        <v>1.172797503394498</v>
      </c>
      <c r="F67" s="30">
        <v>1.0753904720920613</v>
      </c>
      <c r="G67" s="21"/>
    </row>
    <row r="68" spans="1:7" x14ac:dyDescent="0.3">
      <c r="A68" s="8">
        <v>43973</v>
      </c>
      <c r="B68" s="30">
        <v>1</v>
      </c>
      <c r="C68" s="30">
        <v>1.5843300565211116</v>
      </c>
      <c r="D68" s="30">
        <v>0.75347636015962149</v>
      </c>
      <c r="E68" s="30">
        <v>1.0803596466918066</v>
      </c>
      <c r="F68" s="30">
        <v>1.0373865176470358</v>
      </c>
      <c r="G68" s="21"/>
    </row>
    <row r="69" spans="1:7" x14ac:dyDescent="0.3">
      <c r="A69" s="8">
        <v>43977</v>
      </c>
      <c r="B69" s="30">
        <v>1</v>
      </c>
      <c r="C69" s="30">
        <v>1.5157431409386588</v>
      </c>
      <c r="D69" s="30">
        <v>0.77560765125882336</v>
      </c>
      <c r="E69" s="30">
        <v>1.2472289060464408</v>
      </c>
      <c r="F69" s="30">
        <v>1.1044304762475832</v>
      </c>
      <c r="G69" s="21"/>
    </row>
    <row r="70" spans="1:7" x14ac:dyDescent="0.3">
      <c r="A70" s="8">
        <v>43978</v>
      </c>
      <c r="B70" s="30">
        <v>1</v>
      </c>
      <c r="C70" s="30">
        <v>1.4825482186344099</v>
      </c>
      <c r="D70" s="30">
        <v>0.78118273459863419</v>
      </c>
      <c r="E70" s="30">
        <v>1.2314256318030024</v>
      </c>
      <c r="F70" s="30">
        <v>1.098403727955225</v>
      </c>
      <c r="G70" s="21"/>
    </row>
    <row r="71" spans="1:7" x14ac:dyDescent="0.3">
      <c r="A71" s="8">
        <v>43979</v>
      </c>
      <c r="B71" s="30">
        <v>1</v>
      </c>
      <c r="C71" s="30">
        <v>1.4759580064447642</v>
      </c>
      <c r="D71" s="30">
        <v>0.76090981024406568</v>
      </c>
      <c r="E71" s="30">
        <v>1.228861259047024</v>
      </c>
      <c r="F71" s="30">
        <v>1.0974300047480656</v>
      </c>
      <c r="G71" s="21"/>
    </row>
    <row r="72" spans="1:7" x14ac:dyDescent="0.3">
      <c r="A72" s="8">
        <v>43980</v>
      </c>
      <c r="B72" s="30">
        <v>1</v>
      </c>
      <c r="C72" s="30">
        <v>1.490846973618575</v>
      </c>
      <c r="D72" s="30">
        <v>0.76817426875073735</v>
      </c>
      <c r="E72" s="30">
        <v>1.1996449008479759</v>
      </c>
      <c r="F72" s="30">
        <v>1.0861086361782175</v>
      </c>
      <c r="G72" s="21"/>
    </row>
    <row r="73" spans="1:7" x14ac:dyDescent="0.3">
      <c r="A73" s="8">
        <v>43983</v>
      </c>
      <c r="B73" s="30">
        <v>1</v>
      </c>
      <c r="C73" s="30">
        <v>1.5237978637100837</v>
      </c>
      <c r="D73" s="30">
        <v>0.7818584474983814</v>
      </c>
      <c r="E73" s="30">
        <v>1.2409081427515676</v>
      </c>
      <c r="F73" s="30">
        <v>1.1020870684727821</v>
      </c>
      <c r="G73" s="21"/>
    </row>
    <row r="74" spans="1:7" x14ac:dyDescent="0.3">
      <c r="A74" s="8">
        <v>43984</v>
      </c>
      <c r="B74" s="30">
        <v>1</v>
      </c>
      <c r="C74" s="30">
        <v>1.526970941494485</v>
      </c>
      <c r="D74" s="30">
        <v>0.79925939352347164</v>
      </c>
      <c r="E74" s="30">
        <v>1.3747809890697231</v>
      </c>
      <c r="F74" s="30">
        <v>1.1511804028500101</v>
      </c>
      <c r="G74" s="21"/>
    </row>
    <row r="75" spans="1:7" x14ac:dyDescent="0.3">
      <c r="A75" s="8">
        <v>43985</v>
      </c>
      <c r="B75" s="30">
        <v>1</v>
      </c>
      <c r="C75" s="30">
        <v>1.4986575665448481</v>
      </c>
      <c r="D75" s="30">
        <v>0.83186500324983159</v>
      </c>
      <c r="E75" s="30">
        <v>1.2777434247416379</v>
      </c>
      <c r="F75" s="30">
        <v>1.1159962212379686</v>
      </c>
      <c r="G75" s="21"/>
    </row>
    <row r="76" spans="1:7" x14ac:dyDescent="0.3">
      <c r="A76" s="8">
        <v>43986</v>
      </c>
      <c r="B76" s="30">
        <v>1</v>
      </c>
      <c r="C76" s="30">
        <v>1.4239687228711562</v>
      </c>
      <c r="D76" s="30">
        <v>0.82949976313641749</v>
      </c>
      <c r="E76" s="30">
        <v>1.2089896951298047</v>
      </c>
      <c r="F76" s="30">
        <v>1.0898317268200346</v>
      </c>
      <c r="G76" s="21"/>
    </row>
    <row r="77" spans="1:7" x14ac:dyDescent="0.3">
      <c r="A77" s="8">
        <v>43987</v>
      </c>
      <c r="B77" s="30">
        <v>1</v>
      </c>
      <c r="C77" s="30">
        <v>1.4288503678581796</v>
      </c>
      <c r="D77" s="30">
        <v>0.89673830712336411</v>
      </c>
      <c r="E77" s="30">
        <v>1.2352412108671231</v>
      </c>
      <c r="F77" s="30">
        <v>1.0999666085220554</v>
      </c>
      <c r="G77" s="21"/>
    </row>
    <row r="78" spans="1:7" x14ac:dyDescent="0.3">
      <c r="A78" s="8">
        <v>43990</v>
      </c>
      <c r="B78" s="30">
        <v>1</v>
      </c>
      <c r="C78" s="30">
        <v>1.4093239099506001</v>
      </c>
      <c r="D78" s="30">
        <v>0.92478249577702665</v>
      </c>
      <c r="E78" s="30">
        <v>1.1479792704641651</v>
      </c>
      <c r="F78" s="30">
        <v>1.0657034607237947</v>
      </c>
      <c r="G78" s="21"/>
    </row>
    <row r="79" spans="1:7" x14ac:dyDescent="0.3">
      <c r="A79" s="8">
        <v>43991</v>
      </c>
      <c r="B79" s="30">
        <v>1</v>
      </c>
      <c r="C79" s="30">
        <v>1.3888211035191333</v>
      </c>
      <c r="D79" s="30">
        <v>0.90417167273736065</v>
      </c>
      <c r="E79" s="30">
        <v>1.3558743922790886</v>
      </c>
      <c r="F79" s="30">
        <v>1.144503145027969</v>
      </c>
      <c r="G79" s="21"/>
    </row>
    <row r="80" spans="1:7" x14ac:dyDescent="0.3">
      <c r="A80" s="8">
        <v>43992</v>
      </c>
      <c r="B80" s="30">
        <v>1</v>
      </c>
      <c r="C80" s="30">
        <v>1.4361727743184578</v>
      </c>
      <c r="D80" s="30">
        <v>0.85568566951589431</v>
      </c>
      <c r="E80" s="30">
        <v>1.3227403056353397</v>
      </c>
      <c r="F80" s="30">
        <v>1.1325975336701637</v>
      </c>
      <c r="G80" s="21"/>
    </row>
    <row r="81" spans="1:7" x14ac:dyDescent="0.3">
      <c r="A81" s="8">
        <v>43993</v>
      </c>
      <c r="B81" s="30">
        <v>1</v>
      </c>
      <c r="C81" s="30">
        <v>1.3868684064713592</v>
      </c>
      <c r="D81" s="30">
        <v>0.7801690554374312</v>
      </c>
      <c r="E81" s="30">
        <v>1.1103823557670063</v>
      </c>
      <c r="F81" s="30">
        <v>1.0503642586500674</v>
      </c>
      <c r="G81" s="21"/>
    </row>
    <row r="82" spans="1:7" x14ac:dyDescent="0.3">
      <c r="A82" s="8">
        <v>43994</v>
      </c>
      <c r="B82" s="30">
        <v>1</v>
      </c>
      <c r="C82" s="30">
        <v>1.3888211035191333</v>
      </c>
      <c r="D82" s="30">
        <v>0.79689417030414722</v>
      </c>
      <c r="E82" s="30">
        <v>1.2889475704827862</v>
      </c>
      <c r="F82" s="30">
        <v>1.1202322815602845</v>
      </c>
      <c r="G82" s="21"/>
    </row>
    <row r="83" spans="1:7" x14ac:dyDescent="0.3">
      <c r="A83" s="8">
        <v>43997</v>
      </c>
      <c r="B83" s="30">
        <v>1</v>
      </c>
      <c r="C83" s="30">
        <v>1.4491090444444947</v>
      </c>
      <c r="D83" s="30">
        <v>0.79638736451172476</v>
      </c>
      <c r="E83" s="30">
        <v>1.2968740967929622</v>
      </c>
      <c r="F83" s="30">
        <v>1.1231801548253419</v>
      </c>
      <c r="G83" s="21"/>
    </row>
    <row r="84" spans="1:7" x14ac:dyDescent="0.3">
      <c r="A84" s="8">
        <v>43998</v>
      </c>
      <c r="B84" s="30">
        <v>1</v>
      </c>
      <c r="C84" s="30">
        <v>1.4740053093969903</v>
      </c>
      <c r="D84" s="30">
        <v>0.81429513322332703</v>
      </c>
      <c r="E84" s="30">
        <v>1.2952779971135855</v>
      </c>
      <c r="F84" s="30">
        <v>1.1226001773613039</v>
      </c>
      <c r="G84" s="21"/>
    </row>
    <row r="85" spans="1:7" x14ac:dyDescent="0.3">
      <c r="A85" s="8">
        <v>43999</v>
      </c>
      <c r="B85" s="30">
        <v>1</v>
      </c>
      <c r="C85" s="30">
        <v>1.5589455074702097</v>
      </c>
      <c r="D85" s="30">
        <v>0.78777141262920025</v>
      </c>
      <c r="E85" s="30">
        <v>1.1977059152180958</v>
      </c>
      <c r="F85" s="30">
        <v>1.085601527626084</v>
      </c>
      <c r="G85" s="21"/>
    </row>
    <row r="86" spans="1:7" x14ac:dyDescent="0.3">
      <c r="A86" s="8">
        <v>44000</v>
      </c>
      <c r="B86" s="30">
        <v>1</v>
      </c>
      <c r="C86" s="30">
        <v>1.5403953980865168</v>
      </c>
      <c r="D86" s="30">
        <v>0.7926706479165474</v>
      </c>
      <c r="E86" s="30">
        <v>1.3409449791931529</v>
      </c>
      <c r="F86" s="30">
        <v>1.1392088008305969</v>
      </c>
      <c r="G86" s="21"/>
    </row>
    <row r="87" spans="1:7" x14ac:dyDescent="0.3">
      <c r="A87" s="8">
        <v>44001</v>
      </c>
      <c r="B87" s="30">
        <v>1</v>
      </c>
      <c r="C87" s="30">
        <v>1.6551134084668435</v>
      </c>
      <c r="D87" s="30">
        <v>0.77679023752735132</v>
      </c>
      <c r="E87" s="30">
        <v>1.3798970737059968</v>
      </c>
      <c r="F87" s="30">
        <v>1.1530303652439975</v>
      </c>
      <c r="G87" s="21"/>
    </row>
    <row r="88" spans="1:7" x14ac:dyDescent="0.3">
      <c r="A88" s="8">
        <v>44004</v>
      </c>
      <c r="B88" s="30">
        <v>1</v>
      </c>
      <c r="C88" s="30">
        <v>1.7044178739463538</v>
      </c>
      <c r="D88" s="30">
        <v>0.78422360314134787</v>
      </c>
      <c r="E88" s="30">
        <v>1.3381690170008613</v>
      </c>
      <c r="F88" s="30">
        <v>1.1382332396659727</v>
      </c>
      <c r="G88" s="21"/>
    </row>
    <row r="89" spans="1:7" x14ac:dyDescent="0.3">
      <c r="A89" s="8">
        <v>44005</v>
      </c>
      <c r="B89" s="30">
        <v>1</v>
      </c>
      <c r="C89" s="30">
        <v>1.6285086495360346</v>
      </c>
      <c r="D89" s="30">
        <v>0.78895399889772833</v>
      </c>
      <c r="E89" s="30">
        <v>1.1831980893629952</v>
      </c>
      <c r="F89" s="30">
        <v>1.0799895902392842</v>
      </c>
      <c r="G89" s="21"/>
    </row>
    <row r="90" spans="1:7" x14ac:dyDescent="0.3">
      <c r="A90" s="8">
        <v>44006</v>
      </c>
      <c r="B90" s="30">
        <v>1</v>
      </c>
      <c r="C90" s="30">
        <v>1.5657798495050073</v>
      </c>
      <c r="D90" s="30">
        <v>0.75178698499276064</v>
      </c>
      <c r="E90" s="30">
        <v>1.3075192526130288</v>
      </c>
      <c r="F90" s="30">
        <v>1.1271481915908732</v>
      </c>
      <c r="G90" s="21"/>
    </row>
    <row r="91" spans="1:7" x14ac:dyDescent="0.3">
      <c r="A91" s="8">
        <v>44007</v>
      </c>
      <c r="B91" s="30">
        <v>1</v>
      </c>
      <c r="C91" s="30">
        <v>1.5853062097801753</v>
      </c>
      <c r="D91" s="30">
        <v>0.76310599120334899</v>
      </c>
      <c r="E91" s="30">
        <v>1.3653521325164331</v>
      </c>
      <c r="F91" s="30">
        <v>1.1479278328655771</v>
      </c>
      <c r="G91" s="21"/>
    </row>
    <row r="92" spans="1:7" x14ac:dyDescent="0.3">
      <c r="A92" s="8">
        <v>44008</v>
      </c>
      <c r="B92" s="30">
        <v>1</v>
      </c>
      <c r="C92" s="30">
        <v>1.5967780425487419</v>
      </c>
      <c r="D92" s="30">
        <v>0.73692016929431992</v>
      </c>
      <c r="E92" s="30">
        <v>1.4074306195216608</v>
      </c>
      <c r="F92" s="30">
        <v>1.1626284223092753</v>
      </c>
      <c r="G92" s="21"/>
    </row>
    <row r="93" spans="1:7" x14ac:dyDescent="0.3">
      <c r="A93" s="8">
        <v>44011</v>
      </c>
      <c r="B93" s="30">
        <v>1</v>
      </c>
      <c r="C93" s="30">
        <v>1.6287527793811865</v>
      </c>
      <c r="D93" s="30">
        <v>0.74874604887368879</v>
      </c>
      <c r="E93" s="30">
        <v>1.4189814495795396</v>
      </c>
      <c r="F93" s="30">
        <v>1.1666063267006626</v>
      </c>
      <c r="G93" s="21"/>
    </row>
    <row r="94" spans="1:7" x14ac:dyDescent="0.3">
      <c r="A94" s="8">
        <v>44012</v>
      </c>
      <c r="B94" s="30">
        <v>1</v>
      </c>
      <c r="C94" s="30">
        <v>1.6416890495072232</v>
      </c>
      <c r="D94" s="30">
        <v>0.75550370158793811</v>
      </c>
      <c r="E94" s="30">
        <v>1.3310381236376732</v>
      </c>
      <c r="F94" s="30">
        <v>1.1357132290218384</v>
      </c>
      <c r="G94" s="21"/>
    </row>
    <row r="95" spans="1:7" x14ac:dyDescent="0.3">
      <c r="A95" s="8">
        <v>44013</v>
      </c>
      <c r="B95" s="30">
        <v>1</v>
      </c>
      <c r="C95" s="30">
        <v>1.6617036938807979</v>
      </c>
      <c r="D95" s="30">
        <v>0.7384406373538559</v>
      </c>
      <c r="E95" s="30">
        <v>1.2970275278766856</v>
      </c>
      <c r="F95" s="30">
        <v>1.1233579183755946</v>
      </c>
      <c r="G95" s="21"/>
    </row>
    <row r="96" spans="1:7" x14ac:dyDescent="0.3">
      <c r="A96" s="8">
        <v>44014</v>
      </c>
      <c r="B96" s="30">
        <v>1</v>
      </c>
      <c r="C96" s="30">
        <v>1.7134487499768427</v>
      </c>
      <c r="D96" s="30">
        <v>0.74469150116977212</v>
      </c>
      <c r="E96" s="30">
        <v>1.4223702009323054</v>
      </c>
      <c r="F96" s="30">
        <v>1.1677686715141151</v>
      </c>
      <c r="G96" s="21"/>
    </row>
    <row r="97" spans="1:7" x14ac:dyDescent="0.3">
      <c r="A97" s="8">
        <v>44018</v>
      </c>
      <c r="B97" s="30">
        <v>1</v>
      </c>
      <c r="C97" s="30">
        <v>1.7395654200740682</v>
      </c>
      <c r="D97" s="30">
        <v>0.74992861824812729</v>
      </c>
      <c r="E97" s="30">
        <v>1.3822505473920887</v>
      </c>
      <c r="F97" s="30">
        <v>1.1539007458522861</v>
      </c>
      <c r="G97" s="21"/>
    </row>
    <row r="98" spans="1:7" x14ac:dyDescent="0.3">
      <c r="A98" s="8">
        <v>44019</v>
      </c>
      <c r="B98" s="30">
        <v>1</v>
      </c>
      <c r="C98" s="30">
        <v>1.7388332013953332</v>
      </c>
      <c r="D98" s="30">
        <v>0.73050046594743689</v>
      </c>
      <c r="E98" s="30">
        <v>1.2964227904673227</v>
      </c>
      <c r="F98" s="30">
        <v>1.1231817390828225</v>
      </c>
      <c r="G98" s="21"/>
    </row>
    <row r="99" spans="1:7" x14ac:dyDescent="0.3">
      <c r="A99" s="8">
        <v>44020</v>
      </c>
      <c r="B99" s="30">
        <v>1</v>
      </c>
      <c r="C99" s="30">
        <v>1.7766658341062769</v>
      </c>
      <c r="D99" s="30">
        <v>0.72881100631012841</v>
      </c>
      <c r="E99" s="30">
        <v>1.3984875446313743</v>
      </c>
      <c r="F99" s="30">
        <v>1.159553446639465</v>
      </c>
      <c r="G99" s="21"/>
    </row>
    <row r="100" spans="1:7" x14ac:dyDescent="0.3">
      <c r="A100" s="8">
        <v>44021</v>
      </c>
      <c r="B100" s="30">
        <v>1</v>
      </c>
      <c r="C100" s="30">
        <v>1.7771539229398599</v>
      </c>
      <c r="D100" s="30">
        <v>0.69873956069859688</v>
      </c>
      <c r="E100" s="30">
        <v>1.3288342271674565</v>
      </c>
      <c r="F100" s="30">
        <v>1.1349712152551323</v>
      </c>
      <c r="G100" s="21"/>
    </row>
    <row r="101" spans="1:7" x14ac:dyDescent="0.3">
      <c r="A101" s="8">
        <v>44022</v>
      </c>
      <c r="B101" s="30">
        <v>1</v>
      </c>
      <c r="C101" s="30">
        <v>1.8310958059288307</v>
      </c>
      <c r="D101" s="30">
        <v>0.72053295311270138</v>
      </c>
      <c r="E101" s="30">
        <v>1.3962432099313171</v>
      </c>
      <c r="F101" s="30">
        <v>1.158779503656389</v>
      </c>
      <c r="G101" s="2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3"/>
  <sheetViews>
    <sheetView showGridLines="0" zoomScaleNormal="100" workbookViewId="0"/>
  </sheetViews>
  <sheetFormatPr defaultRowHeight="14.4" x14ac:dyDescent="0.3"/>
  <sheetData>
    <row r="1" spans="1:2" x14ac:dyDescent="0.3">
      <c r="A1" s="3" t="s">
        <v>10</v>
      </c>
      <c r="B1" s="3" t="s">
        <v>9</v>
      </c>
    </row>
    <row r="2" spans="1:2" x14ac:dyDescent="0.3">
      <c r="A2" s="4">
        <f>1/12</f>
        <v>8.3333333333333329E-2</v>
      </c>
      <c r="B2" s="5">
        <v>1E-3</v>
      </c>
    </row>
    <row r="3" spans="1:2" x14ac:dyDescent="0.3">
      <c r="A3" s="4">
        <f>2/12</f>
        <v>0.16666666666666666</v>
      </c>
      <c r="B3" s="5">
        <v>1.1999999999999999E-3</v>
      </c>
    </row>
    <row r="4" spans="1:2" x14ac:dyDescent="0.3">
      <c r="A4" s="6">
        <f>3/12</f>
        <v>0.25</v>
      </c>
      <c r="B4" s="5">
        <v>1.2999999999999999E-3</v>
      </c>
    </row>
    <row r="5" spans="1:2" x14ac:dyDescent="0.3">
      <c r="A5" s="6">
        <f>6/12</f>
        <v>0.5</v>
      </c>
      <c r="B5" s="5">
        <v>1.5E-3</v>
      </c>
    </row>
    <row r="6" spans="1:2" x14ac:dyDescent="0.3">
      <c r="A6" s="6">
        <v>1</v>
      </c>
      <c r="B6" s="5">
        <v>1.5E-3</v>
      </c>
    </row>
    <row r="7" spans="1:2" x14ac:dyDescent="0.3">
      <c r="A7" s="6">
        <v>2</v>
      </c>
      <c r="B7" s="5">
        <v>1.6000000000000001E-3</v>
      </c>
    </row>
    <row r="8" spans="1:2" x14ac:dyDescent="0.3">
      <c r="A8" s="6">
        <v>3</v>
      </c>
      <c r="B8" s="5">
        <v>1.9E-3</v>
      </c>
    </row>
    <row r="9" spans="1:2" x14ac:dyDescent="0.3">
      <c r="A9" s="6">
        <v>5</v>
      </c>
      <c r="B9" s="5">
        <v>3.0000000000000001E-3</v>
      </c>
    </row>
    <row r="10" spans="1:2" x14ac:dyDescent="0.3">
      <c r="A10" s="6">
        <v>7</v>
      </c>
      <c r="B10" s="5">
        <v>4.8999999999999998E-3</v>
      </c>
    </row>
    <row r="11" spans="1:2" x14ac:dyDescent="0.3">
      <c r="A11" s="6">
        <v>10</v>
      </c>
      <c r="B11" s="5">
        <v>6.5000000000000006E-3</v>
      </c>
    </row>
    <row r="12" spans="1:2" x14ac:dyDescent="0.3">
      <c r="A12" s="6">
        <v>20</v>
      </c>
      <c r="B12" s="5">
        <v>1.1200000000000002E-2</v>
      </c>
    </row>
    <row r="13" spans="1:2" x14ac:dyDescent="0.3">
      <c r="A13" s="6">
        <v>30</v>
      </c>
      <c r="B13" s="5">
        <v>1.3300000000000001E-2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01"/>
  <sheetViews>
    <sheetView showGridLines="0" zoomScaleNormal="100" workbookViewId="0"/>
  </sheetViews>
  <sheetFormatPr defaultRowHeight="14.4" x14ac:dyDescent="0.3"/>
  <cols>
    <col min="1" max="1" width="9.5546875" bestFit="1" customWidth="1"/>
  </cols>
  <sheetData>
    <row r="1" spans="1:2" x14ac:dyDescent="0.3">
      <c r="A1" s="7" t="s">
        <v>0</v>
      </c>
      <c r="B1" s="7" t="s">
        <v>9</v>
      </c>
    </row>
    <row r="2" spans="1:2" x14ac:dyDescent="0.3">
      <c r="A2" s="8">
        <v>43880</v>
      </c>
      <c r="B2" s="9">
        <v>1.6E-2</v>
      </c>
    </row>
    <row r="3" spans="1:2" x14ac:dyDescent="0.3">
      <c r="A3" s="8">
        <v>43881</v>
      </c>
      <c r="B3" s="9">
        <v>2.0098092464720184E-2</v>
      </c>
    </row>
    <row r="4" spans="1:2" x14ac:dyDescent="0.3">
      <c r="A4" s="8">
        <v>43882</v>
      </c>
      <c r="B4" s="9">
        <v>1.8086649413668315E-2</v>
      </c>
    </row>
    <row r="5" spans="1:2" x14ac:dyDescent="0.3">
      <c r="A5" s="8">
        <v>43885</v>
      </c>
      <c r="B5" s="9">
        <v>1.5028141729346686E-2</v>
      </c>
    </row>
    <row r="6" spans="1:2" x14ac:dyDescent="0.3">
      <c r="A6" s="8">
        <v>43886</v>
      </c>
      <c r="B6" s="9">
        <v>1.8182779371890594E-2</v>
      </c>
    </row>
    <row r="7" spans="1:2" x14ac:dyDescent="0.3">
      <c r="A7" s="8">
        <v>43887</v>
      </c>
      <c r="B7" s="9">
        <v>1.8532122073286021E-2</v>
      </c>
    </row>
    <row r="8" spans="1:2" x14ac:dyDescent="0.3">
      <c r="A8" s="8">
        <v>43888</v>
      </c>
      <c r="B8" s="9">
        <v>1.8631789591845527E-2</v>
      </c>
    </row>
    <row r="9" spans="1:2" x14ac:dyDescent="0.3">
      <c r="A9" s="8">
        <v>43889</v>
      </c>
      <c r="B9" s="9">
        <v>1.987535840404845E-2</v>
      </c>
    </row>
    <row r="10" spans="1:2" x14ac:dyDescent="0.3">
      <c r="A10" s="8">
        <v>43892</v>
      </c>
      <c r="B10" s="9">
        <v>1.4873677143293004E-2</v>
      </c>
    </row>
    <row r="11" spans="1:2" x14ac:dyDescent="0.3">
      <c r="A11" s="8">
        <v>43893</v>
      </c>
      <c r="B11" s="9">
        <v>2.0054948818898077E-2</v>
      </c>
    </row>
    <row r="12" spans="1:2" x14ac:dyDescent="0.3">
      <c r="A12" s="8">
        <v>43894</v>
      </c>
      <c r="B12" s="9">
        <v>1.3223844445814419E-2</v>
      </c>
    </row>
    <row r="13" spans="1:2" x14ac:dyDescent="0.3">
      <c r="A13" s="8">
        <v>43895</v>
      </c>
      <c r="B13" s="9">
        <v>1.6627195143239935E-2</v>
      </c>
    </row>
    <row r="14" spans="1:2" x14ac:dyDescent="0.3">
      <c r="A14" s="8">
        <v>43896</v>
      </c>
      <c r="B14" s="9">
        <v>1.032782890250908E-2</v>
      </c>
    </row>
    <row r="15" spans="1:2" x14ac:dyDescent="0.3">
      <c r="A15" s="8">
        <v>43899</v>
      </c>
      <c r="B15" s="9">
        <v>1.5189442479221509E-2</v>
      </c>
    </row>
    <row r="16" spans="1:2" x14ac:dyDescent="0.3">
      <c r="A16" s="8">
        <v>43900</v>
      </c>
      <c r="B16" s="9">
        <v>1.9673069936876324E-2</v>
      </c>
    </row>
    <row r="17" spans="1:2" x14ac:dyDescent="0.3">
      <c r="A17" s="8">
        <v>43901</v>
      </c>
      <c r="B17" s="9">
        <v>1.6030698931164628E-2</v>
      </c>
    </row>
    <row r="18" spans="1:2" x14ac:dyDescent="0.3">
      <c r="A18" s="8">
        <v>43902</v>
      </c>
      <c r="B18" s="9">
        <v>1.54816981911115E-2</v>
      </c>
    </row>
    <row r="19" spans="1:2" x14ac:dyDescent="0.3">
      <c r="A19" s="8">
        <v>43903</v>
      </c>
      <c r="B19" s="9">
        <v>1.0199285909928128E-2</v>
      </c>
    </row>
    <row r="20" spans="1:2" x14ac:dyDescent="0.3">
      <c r="A20" s="8">
        <v>43906</v>
      </c>
      <c r="B20" s="9">
        <v>4.9027996597868356E-3</v>
      </c>
    </row>
    <row r="21" spans="1:2" x14ac:dyDescent="0.3">
      <c r="A21" s="8">
        <v>43907</v>
      </c>
      <c r="B21" s="9">
        <v>2.0376480747798256E-2</v>
      </c>
    </row>
    <row r="22" spans="1:2" x14ac:dyDescent="0.3">
      <c r="A22" s="8">
        <v>43908</v>
      </c>
      <c r="B22" s="9">
        <v>6.76090259040744E-3</v>
      </c>
    </row>
    <row r="23" spans="1:2" x14ac:dyDescent="0.3">
      <c r="A23" s="8">
        <v>43909</v>
      </c>
      <c r="B23" s="9">
        <v>1.1890838204148487E-2</v>
      </c>
    </row>
    <row r="24" spans="1:2" x14ac:dyDescent="0.3">
      <c r="A24" s="8">
        <v>43910</v>
      </c>
      <c r="B24" s="9">
        <v>6.2835889492392962E-3</v>
      </c>
    </row>
    <row r="25" spans="1:2" x14ac:dyDescent="0.3">
      <c r="A25" s="8">
        <v>43913</v>
      </c>
      <c r="B25" s="9">
        <v>6.6275217147635148E-3</v>
      </c>
    </row>
    <row r="26" spans="1:2" x14ac:dyDescent="0.3">
      <c r="A26" s="8">
        <v>43914</v>
      </c>
      <c r="B26" s="9">
        <v>1.680688990089569E-2</v>
      </c>
    </row>
    <row r="27" spans="1:2" x14ac:dyDescent="0.3">
      <c r="A27" s="8">
        <v>43915</v>
      </c>
      <c r="B27" s="9">
        <v>5.0037261967535241E-3</v>
      </c>
    </row>
    <row r="28" spans="1:2" x14ac:dyDescent="0.3">
      <c r="A28" s="8">
        <v>43916</v>
      </c>
      <c r="B28" s="9">
        <v>1.5330158095036572E-2</v>
      </c>
    </row>
    <row r="29" spans="1:2" x14ac:dyDescent="0.3">
      <c r="A29" s="8">
        <v>43917</v>
      </c>
      <c r="B29" s="9">
        <v>1.0476111266776316E-2</v>
      </c>
    </row>
    <row r="30" spans="1:2" x14ac:dyDescent="0.3">
      <c r="A30" s="8">
        <v>43920</v>
      </c>
      <c r="B30" s="9">
        <v>1.5675865793874619E-2</v>
      </c>
    </row>
    <row r="31" spans="1:2" x14ac:dyDescent="0.3">
      <c r="A31" s="8">
        <v>43921</v>
      </c>
      <c r="B31" s="9">
        <v>1.3639408410189676E-2</v>
      </c>
    </row>
    <row r="32" spans="1:2" x14ac:dyDescent="0.3">
      <c r="A32" s="8">
        <v>43922</v>
      </c>
      <c r="B32" s="9">
        <v>3.3288075036360006E-3</v>
      </c>
    </row>
    <row r="33" spans="1:2" x14ac:dyDescent="0.3">
      <c r="A33" s="8">
        <v>43923</v>
      </c>
      <c r="B33" s="9">
        <v>1.1129683346571221E-2</v>
      </c>
    </row>
    <row r="34" spans="1:2" x14ac:dyDescent="0.3">
      <c r="A34" s="8">
        <v>43924</v>
      </c>
      <c r="B34" s="9">
        <v>1.329520442411878E-2</v>
      </c>
    </row>
    <row r="35" spans="1:2" x14ac:dyDescent="0.3">
      <c r="A35" s="8">
        <v>43927</v>
      </c>
      <c r="B35" s="9">
        <v>1.4320516796664099E-2</v>
      </c>
    </row>
    <row r="36" spans="1:2" x14ac:dyDescent="0.3">
      <c r="A36" s="8">
        <v>43928</v>
      </c>
      <c r="B36" s="9">
        <v>6.1166717829177712E-3</v>
      </c>
    </row>
    <row r="37" spans="1:2" x14ac:dyDescent="0.3">
      <c r="A37" s="8">
        <v>43929</v>
      </c>
      <c r="B37" s="9">
        <v>1.4247797032867274E-2</v>
      </c>
    </row>
    <row r="38" spans="1:2" x14ac:dyDescent="0.3">
      <c r="A38" s="8">
        <v>43930</v>
      </c>
      <c r="B38" s="9">
        <v>7.3959611716350061E-3</v>
      </c>
    </row>
    <row r="39" spans="1:2" x14ac:dyDescent="0.3">
      <c r="A39" s="8">
        <v>43934</v>
      </c>
      <c r="B39" s="9">
        <v>1.8352199721730585E-2</v>
      </c>
    </row>
    <row r="40" spans="1:2" x14ac:dyDescent="0.3">
      <c r="A40" s="8">
        <v>43935</v>
      </c>
      <c r="B40" s="9">
        <v>1.1187502916954861E-2</v>
      </c>
    </row>
    <row r="41" spans="1:2" x14ac:dyDescent="0.3">
      <c r="A41" s="8">
        <v>43936</v>
      </c>
      <c r="B41" s="9">
        <v>1.654901445735054E-2</v>
      </c>
    </row>
    <row r="42" spans="1:2" x14ac:dyDescent="0.3">
      <c r="A42" s="8">
        <v>43937</v>
      </c>
      <c r="B42" s="9">
        <v>1.1861384935553367E-2</v>
      </c>
    </row>
    <row r="43" spans="1:2" x14ac:dyDescent="0.3">
      <c r="A43" s="8">
        <v>43938</v>
      </c>
      <c r="B43" s="9">
        <v>9.0828103938605832E-3</v>
      </c>
    </row>
    <row r="44" spans="1:2" x14ac:dyDescent="0.3">
      <c r="A44" s="8">
        <v>43941</v>
      </c>
      <c r="B44" s="9">
        <v>7.8803958341221482E-3</v>
      </c>
    </row>
    <row r="45" spans="1:2" x14ac:dyDescent="0.3">
      <c r="A45" s="8">
        <v>43942</v>
      </c>
      <c r="B45" s="9">
        <v>4.0573483636724052E-3</v>
      </c>
    </row>
    <row r="46" spans="1:2" x14ac:dyDescent="0.3">
      <c r="A46" s="8">
        <v>43943</v>
      </c>
      <c r="B46" s="9">
        <v>1.2180908893528491E-2</v>
      </c>
    </row>
    <row r="47" spans="1:2" x14ac:dyDescent="0.3">
      <c r="A47" s="8">
        <v>43944</v>
      </c>
      <c r="B47" s="9">
        <v>1.1733029438267258E-2</v>
      </c>
    </row>
    <row r="48" spans="1:2" x14ac:dyDescent="0.3">
      <c r="A48" s="8">
        <v>43945</v>
      </c>
      <c r="B48" s="9">
        <v>1.0245847426739976E-2</v>
      </c>
    </row>
    <row r="49" spans="1:2" x14ac:dyDescent="0.3">
      <c r="A49" s="8">
        <v>43948</v>
      </c>
      <c r="B49" s="9">
        <v>1.117381705793535E-2</v>
      </c>
    </row>
    <row r="50" spans="1:2" x14ac:dyDescent="0.3">
      <c r="A50" s="8">
        <v>43949</v>
      </c>
      <c r="B50" s="9">
        <v>1.2302264193709665E-2</v>
      </c>
    </row>
    <row r="51" spans="1:2" x14ac:dyDescent="0.3">
      <c r="A51" s="8">
        <v>43950</v>
      </c>
      <c r="B51" s="9">
        <v>1.0313102053680931E-2</v>
      </c>
    </row>
    <row r="52" spans="1:2" x14ac:dyDescent="0.3">
      <c r="A52" s="8">
        <v>43951</v>
      </c>
      <c r="B52" s="9">
        <v>1.3309807924018233E-2</v>
      </c>
    </row>
    <row r="53" spans="1:2" x14ac:dyDescent="0.3">
      <c r="A53" s="8">
        <v>43952</v>
      </c>
      <c r="B53" s="9">
        <v>3.2075737313301197E-3</v>
      </c>
    </row>
    <row r="54" spans="1:2" x14ac:dyDescent="0.3">
      <c r="A54" s="8">
        <v>43955</v>
      </c>
      <c r="B54" s="9">
        <v>1.3917815175403334E-2</v>
      </c>
    </row>
    <row r="55" spans="1:2" x14ac:dyDescent="0.3">
      <c r="A55" s="8">
        <v>43956</v>
      </c>
      <c r="B55" s="9">
        <v>1.3341658514865126E-2</v>
      </c>
    </row>
    <row r="56" spans="1:2" x14ac:dyDescent="0.3">
      <c r="A56" s="8">
        <v>43957</v>
      </c>
      <c r="B56" s="9">
        <v>8.2863543639006727E-3</v>
      </c>
    </row>
    <row r="57" spans="1:2" x14ac:dyDescent="0.3">
      <c r="A57" s="8">
        <v>43958</v>
      </c>
      <c r="B57" s="9">
        <v>2.5520702105156189E-3</v>
      </c>
    </row>
    <row r="58" spans="1:2" x14ac:dyDescent="0.3">
      <c r="A58" s="8">
        <v>43959</v>
      </c>
      <c r="B58" s="9">
        <v>4.9858112318833898E-3</v>
      </c>
    </row>
    <row r="59" spans="1:2" x14ac:dyDescent="0.3">
      <c r="A59" s="8">
        <v>43962</v>
      </c>
      <c r="B59" s="9">
        <v>1.1924681395638102E-2</v>
      </c>
    </row>
    <row r="60" spans="1:2" x14ac:dyDescent="0.3">
      <c r="A60" s="8">
        <v>43963</v>
      </c>
      <c r="B60" s="9">
        <v>1.3425936686035957E-2</v>
      </c>
    </row>
    <row r="61" spans="1:2" x14ac:dyDescent="0.3">
      <c r="A61" s="8">
        <v>43964</v>
      </c>
      <c r="B61" s="9">
        <v>2.205887120027122E-3</v>
      </c>
    </row>
    <row r="62" spans="1:2" x14ac:dyDescent="0.3">
      <c r="A62" s="8">
        <v>43965</v>
      </c>
      <c r="B62" s="9">
        <v>1.0571832025129593E-3</v>
      </c>
    </row>
    <row r="63" spans="1:2" x14ac:dyDescent="0.3">
      <c r="A63" s="8">
        <v>43966</v>
      </c>
      <c r="B63" s="9">
        <v>4.3546814112510358E-3</v>
      </c>
    </row>
    <row r="64" spans="1:2" x14ac:dyDescent="0.3">
      <c r="A64" s="8">
        <v>43969</v>
      </c>
      <c r="B64" s="9">
        <v>2.822905779981873E-3</v>
      </c>
    </row>
    <row r="65" spans="1:2" x14ac:dyDescent="0.3">
      <c r="A65" s="8">
        <v>43970</v>
      </c>
      <c r="B65" s="9">
        <v>1.5137802658546293E-3</v>
      </c>
    </row>
    <row r="66" spans="1:2" x14ac:dyDescent="0.3">
      <c r="A66" s="8">
        <v>43971</v>
      </c>
      <c r="B66" s="9">
        <v>9.2006217365077948E-3</v>
      </c>
    </row>
    <row r="67" spans="1:2" x14ac:dyDescent="0.3">
      <c r="A67" s="8">
        <v>43972</v>
      </c>
      <c r="B67" s="9">
        <v>8.8058149623881903E-3</v>
      </c>
    </row>
    <row r="68" spans="1:2" x14ac:dyDescent="0.3">
      <c r="A68" s="8">
        <v>43973</v>
      </c>
      <c r="B68" s="9">
        <v>1.2579123082909333E-2</v>
      </c>
    </row>
    <row r="69" spans="1:2" x14ac:dyDescent="0.3">
      <c r="A69" s="8">
        <v>43977</v>
      </c>
      <c r="B69" s="9">
        <v>6.0236117739471884E-3</v>
      </c>
    </row>
    <row r="70" spans="1:2" x14ac:dyDescent="0.3">
      <c r="A70" s="8">
        <v>43978</v>
      </c>
      <c r="B70" s="9">
        <v>6.5993717425416095E-3</v>
      </c>
    </row>
    <row r="71" spans="1:2" x14ac:dyDescent="0.3">
      <c r="A71" s="8">
        <v>43979</v>
      </c>
      <c r="B71" s="9">
        <v>6.6943380860127804E-3</v>
      </c>
    </row>
    <row r="72" spans="1:2" x14ac:dyDescent="0.3">
      <c r="A72" s="8">
        <v>43980</v>
      </c>
      <c r="B72" s="9">
        <v>7.7848556832748909E-3</v>
      </c>
    </row>
    <row r="73" spans="1:2" x14ac:dyDescent="0.3">
      <c r="A73" s="8">
        <v>43983</v>
      </c>
      <c r="B73" s="9">
        <v>6.2571567213099482E-3</v>
      </c>
    </row>
    <row r="74" spans="1:2" x14ac:dyDescent="0.3">
      <c r="A74" s="8">
        <v>43984</v>
      </c>
      <c r="B74" s="9">
        <v>1.6801316640270014E-3</v>
      </c>
    </row>
    <row r="75" spans="1:2" x14ac:dyDescent="0.3">
      <c r="A75" s="8">
        <v>43985</v>
      </c>
      <c r="B75" s="9">
        <v>4.9424955643004708E-3</v>
      </c>
    </row>
    <row r="76" spans="1:2" x14ac:dyDescent="0.3">
      <c r="A76" s="8">
        <v>43986</v>
      </c>
      <c r="B76" s="9">
        <v>7.438437442278365E-3</v>
      </c>
    </row>
    <row r="77" spans="1:2" x14ac:dyDescent="0.3">
      <c r="A77" s="8">
        <v>43987</v>
      </c>
      <c r="B77" s="9">
        <v>6.4669299709800652E-3</v>
      </c>
    </row>
    <row r="78" spans="1:2" x14ac:dyDescent="0.3">
      <c r="A78" s="8">
        <v>43990</v>
      </c>
      <c r="B78" s="9">
        <v>9.8043817101655072E-3</v>
      </c>
    </row>
    <row r="79" spans="1:2" x14ac:dyDescent="0.3">
      <c r="A79" s="8">
        <v>43991</v>
      </c>
      <c r="B79" s="9">
        <v>2.2958018847683524E-3</v>
      </c>
    </row>
    <row r="80" spans="1:2" x14ac:dyDescent="0.3">
      <c r="A80" s="8">
        <v>43992</v>
      </c>
      <c r="B80" s="9">
        <v>3.3974947710917851E-3</v>
      </c>
    </row>
    <row r="81" spans="1:2" x14ac:dyDescent="0.3">
      <c r="A81" s="8">
        <v>43993</v>
      </c>
      <c r="B81" s="9">
        <v>1.1341088737618554E-2</v>
      </c>
    </row>
    <row r="82" spans="1:2" x14ac:dyDescent="0.3">
      <c r="A82" s="8">
        <v>43994</v>
      </c>
      <c r="B82" s="9">
        <v>4.5561168485112706E-3</v>
      </c>
    </row>
    <row r="83" spans="1:2" x14ac:dyDescent="0.3">
      <c r="A83" s="8">
        <v>43997</v>
      </c>
      <c r="B83" s="9">
        <v>4.2829095492535607E-3</v>
      </c>
    </row>
    <row r="84" spans="1:2" x14ac:dyDescent="0.3">
      <c r="A84" s="8">
        <v>43998</v>
      </c>
      <c r="B84" s="9">
        <v>4.3386333277808595E-3</v>
      </c>
    </row>
    <row r="85" spans="1:2" x14ac:dyDescent="0.3">
      <c r="A85" s="8">
        <v>43999</v>
      </c>
      <c r="B85" s="9">
        <v>7.8769166106177069E-3</v>
      </c>
    </row>
    <row r="86" spans="1:2" x14ac:dyDescent="0.3">
      <c r="A86" s="8">
        <v>44000</v>
      </c>
      <c r="B86" s="9">
        <v>2.7910875990625932E-3</v>
      </c>
    </row>
    <row r="87" spans="1:2" x14ac:dyDescent="0.3">
      <c r="A87" s="8">
        <v>44001</v>
      </c>
      <c r="B87" s="9">
        <v>1.5189005127049082E-3</v>
      </c>
    </row>
    <row r="88" spans="1:2" x14ac:dyDescent="0.3">
      <c r="A88" s="8">
        <v>44004</v>
      </c>
      <c r="B88" s="9">
        <v>2.8848370742502747E-3</v>
      </c>
    </row>
    <row r="89" spans="1:2" x14ac:dyDescent="0.3">
      <c r="A89" s="8">
        <v>44005</v>
      </c>
      <c r="B89" s="9">
        <v>8.4386745624233182E-3</v>
      </c>
    </row>
    <row r="90" spans="1:2" x14ac:dyDescent="0.3">
      <c r="A90" s="8">
        <v>44006</v>
      </c>
      <c r="B90" s="9">
        <v>3.9211915497849685E-3</v>
      </c>
    </row>
    <row r="91" spans="1:2" x14ac:dyDescent="0.3">
      <c r="A91" s="8">
        <v>44007</v>
      </c>
      <c r="B91" s="9">
        <v>1.9905018692829256E-3</v>
      </c>
    </row>
    <row r="92" spans="1:2" x14ac:dyDescent="0.3">
      <c r="A92" s="8">
        <v>44008</v>
      </c>
      <c r="B92" s="9">
        <v>6.4524775988565423E-4</v>
      </c>
    </row>
    <row r="93" spans="1:2" x14ac:dyDescent="0.3">
      <c r="A93" s="8">
        <v>44011</v>
      </c>
      <c r="B93" s="9">
        <v>2.8427621351734484E-4</v>
      </c>
    </row>
    <row r="94" spans="1:2" x14ac:dyDescent="0.3">
      <c r="A94" s="8">
        <v>44012</v>
      </c>
      <c r="B94" s="9">
        <v>3.1262606940655547E-3</v>
      </c>
    </row>
    <row r="95" spans="1:2" x14ac:dyDescent="0.3">
      <c r="A95" s="8">
        <v>44013</v>
      </c>
      <c r="B95" s="9">
        <v>4.2860275131212256E-3</v>
      </c>
    </row>
    <row r="96" spans="1:2" x14ac:dyDescent="0.3">
      <c r="A96" s="8">
        <v>44014</v>
      </c>
      <c r="B96" s="9">
        <v>1.7902715663463842E-4</v>
      </c>
    </row>
    <row r="97" spans="1:2" x14ac:dyDescent="0.3">
      <c r="A97" s="8">
        <v>44018</v>
      </c>
      <c r="B97" s="9">
        <v>1.4463619253175623E-3</v>
      </c>
    </row>
    <row r="98" spans="1:2" x14ac:dyDescent="0.3">
      <c r="A98" s="8">
        <v>44019</v>
      </c>
      <c r="B98" s="9">
        <v>4.3101495220603126E-3</v>
      </c>
    </row>
    <row r="99" spans="1:2" x14ac:dyDescent="0.3">
      <c r="A99" s="8">
        <v>44020</v>
      </c>
      <c r="B99" s="9">
        <v>9.2855948225848816E-4</v>
      </c>
    </row>
    <row r="100" spans="1:2" x14ac:dyDescent="0.3">
      <c r="A100" s="8">
        <v>44021</v>
      </c>
      <c r="B100" s="9">
        <v>3.2038407221153505E-3</v>
      </c>
    </row>
    <row r="101" spans="1:2" x14ac:dyDescent="0.3">
      <c r="A101" s="8">
        <v>44022</v>
      </c>
      <c r="B101" s="9">
        <v>1.0000000000000009E-3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V11"/>
  <sheetViews>
    <sheetView showGridLines="0" zoomScaleNormal="100" workbookViewId="0"/>
  </sheetViews>
  <sheetFormatPr defaultRowHeight="14.4" x14ac:dyDescent="0.3"/>
  <cols>
    <col min="1" max="1" width="10.5546875" bestFit="1" customWidth="1"/>
    <col min="2" max="2" width="16.33203125" bestFit="1" customWidth="1"/>
    <col min="3" max="3" width="12.109375" style="2" bestFit="1" customWidth="1"/>
    <col min="4" max="4" width="10.6640625" style="2" bestFit="1" customWidth="1"/>
    <col min="5" max="5" width="15.5546875" style="2" bestFit="1" customWidth="1"/>
    <col min="6" max="6" width="12.77734375" style="2" bestFit="1" customWidth="1"/>
    <col min="7" max="7" width="12.33203125" style="13" bestFit="1" customWidth="1"/>
    <col min="8" max="9" width="8.88671875" style="2"/>
  </cols>
  <sheetData>
    <row r="1" spans="1:22" s="15" customFormat="1" x14ac:dyDescent="0.3">
      <c r="A1" s="16" t="s">
        <v>6</v>
      </c>
      <c r="B1" s="16" t="s">
        <v>17</v>
      </c>
      <c r="C1" s="16" t="s">
        <v>23</v>
      </c>
      <c r="D1" s="16" t="s">
        <v>24</v>
      </c>
      <c r="E1" s="16" t="s">
        <v>18</v>
      </c>
      <c r="F1" s="16" t="s">
        <v>19</v>
      </c>
      <c r="G1" s="16" t="s">
        <v>20</v>
      </c>
      <c r="H1" s="16" t="s">
        <v>21</v>
      </c>
      <c r="I1" s="16" t="s">
        <v>22</v>
      </c>
    </row>
    <row r="2" spans="1:22" x14ac:dyDescent="0.3">
      <c r="A2" s="6">
        <v>1</v>
      </c>
      <c r="B2" s="6" t="s">
        <v>26</v>
      </c>
      <c r="C2" s="29">
        <v>0.19069018478549513</v>
      </c>
      <c r="D2" s="29">
        <v>0.15959182309820241</v>
      </c>
      <c r="E2" s="29">
        <v>0</v>
      </c>
      <c r="F2" s="29">
        <v>0</v>
      </c>
      <c r="G2" s="31">
        <v>0</v>
      </c>
      <c r="H2" s="29">
        <v>0</v>
      </c>
      <c r="I2" s="29">
        <v>0</v>
      </c>
      <c r="K2" s="26" t="s">
        <v>57</v>
      </c>
    </row>
    <row r="3" spans="1:22" x14ac:dyDescent="0.3">
      <c r="A3" s="6">
        <v>2</v>
      </c>
      <c r="B3" s="6" t="s">
        <v>39</v>
      </c>
      <c r="C3" s="29">
        <v>0.15625154122703841</v>
      </c>
      <c r="D3" s="29">
        <v>0.23945156180103352</v>
      </c>
      <c r="E3" s="29">
        <v>7.3669487945824163E-3</v>
      </c>
      <c r="F3" s="29">
        <v>0.8310958059288307</v>
      </c>
      <c r="G3" s="31">
        <v>68099.991999999998</v>
      </c>
      <c r="H3" s="29">
        <v>5.0575795863505663E-2</v>
      </c>
      <c r="I3" s="29">
        <v>0.12772271569572302</v>
      </c>
      <c r="K3" s="41" t="s">
        <v>62</v>
      </c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6">
        <v>3</v>
      </c>
      <c r="B4" s="6" t="s">
        <v>39</v>
      </c>
      <c r="C4" s="29">
        <v>0.22574780868376557</v>
      </c>
      <c r="D4" s="29">
        <v>0.13613183148643959</v>
      </c>
      <c r="E4" s="29">
        <v>-2.3378762109196923E-3</v>
      </c>
      <c r="F4" s="29">
        <v>-0.27946704688729862</v>
      </c>
      <c r="G4" s="31">
        <v>-33084.593999999997</v>
      </c>
      <c r="H4" s="29">
        <v>7.3318521995342514E-2</v>
      </c>
      <c r="I4" s="29">
        <v>0.11449826499631625</v>
      </c>
      <c r="K4" s="35" t="s">
        <v>58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36"/>
    </row>
    <row r="5" spans="1:22" x14ac:dyDescent="0.3">
      <c r="A5" s="6">
        <v>4</v>
      </c>
      <c r="B5" s="6" t="s">
        <v>42</v>
      </c>
      <c r="C5" s="29">
        <v>0.25369267572458154</v>
      </c>
      <c r="D5" s="29">
        <v>0.29644989405522337</v>
      </c>
      <c r="E5" s="29">
        <v>1.0276025804752092E-2</v>
      </c>
      <c r="F5" s="29">
        <v>0.39624320993131712</v>
      </c>
      <c r="G5" s="31">
        <v>52715.875375678646</v>
      </c>
      <c r="H5" s="29">
        <v>0.16778907434875215</v>
      </c>
      <c r="I5" s="29">
        <v>0.21259307019830517</v>
      </c>
      <c r="K5" s="35" t="s">
        <v>59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36"/>
    </row>
    <row r="6" spans="1:22" x14ac:dyDescent="0.3">
      <c r="A6" s="6">
        <v>5</v>
      </c>
      <c r="B6" s="6" t="s">
        <v>43</v>
      </c>
      <c r="C6" s="29">
        <v>0.17361778957911936</v>
      </c>
      <c r="D6" s="29">
        <v>0.1683748895591011</v>
      </c>
      <c r="E6" s="29">
        <v>2.8239483348412153E-3</v>
      </c>
      <c r="F6" s="29">
        <v>0.15877950365638904</v>
      </c>
      <c r="G6" s="31">
        <v>14456.405549295392</v>
      </c>
      <c r="H6" s="29">
        <v>7.739341625263807E-2</v>
      </c>
      <c r="I6" s="29">
        <v>0.10100799210131116</v>
      </c>
      <c r="K6" s="37" t="s">
        <v>60</v>
      </c>
      <c r="L6" s="38"/>
      <c r="M6" s="38"/>
      <c r="N6" s="38"/>
      <c r="O6" s="38"/>
      <c r="P6" s="38"/>
      <c r="Q6" s="38"/>
      <c r="R6" s="38"/>
      <c r="S6" s="38"/>
      <c r="T6" s="38"/>
      <c r="U6" s="38"/>
      <c r="V6" s="39"/>
    </row>
    <row r="7" spans="1:22" x14ac:dyDescent="0.3">
      <c r="A7" s="6"/>
      <c r="B7" s="6" t="s">
        <v>37</v>
      </c>
      <c r="C7" s="29">
        <v>1</v>
      </c>
      <c r="D7" s="29">
        <v>1</v>
      </c>
      <c r="E7" s="29">
        <v>2.720448062427203E-3</v>
      </c>
      <c r="F7" s="29">
        <v>0.19486187377004138</v>
      </c>
      <c r="G7" s="31">
        <v>102187.67892497405</v>
      </c>
      <c r="H7" s="29">
        <v>6.9218784576764419E-2</v>
      </c>
      <c r="I7" s="29">
        <v>8.4648626277861544E-2</v>
      </c>
    </row>
    <row r="8" spans="1:22" x14ac:dyDescent="0.3">
      <c r="A8" s="19"/>
      <c r="B8" s="19"/>
      <c r="C8" s="20"/>
      <c r="D8" s="20"/>
      <c r="E8" s="20"/>
      <c r="F8" s="20"/>
      <c r="G8" s="22"/>
      <c r="H8" s="20"/>
      <c r="I8" s="20"/>
    </row>
    <row r="9" spans="1:22" x14ac:dyDescent="0.3">
      <c r="A9" s="19"/>
      <c r="B9" s="19"/>
      <c r="C9" s="20"/>
      <c r="D9" s="20"/>
      <c r="E9" s="20"/>
      <c r="F9" s="20"/>
      <c r="G9" s="22"/>
      <c r="H9" s="20"/>
      <c r="I9" s="20"/>
    </row>
    <row r="10" spans="1:22" x14ac:dyDescent="0.3">
      <c r="A10" s="19"/>
      <c r="B10" s="19"/>
      <c r="C10" s="20"/>
      <c r="D10" s="20"/>
      <c r="E10" s="20"/>
      <c r="F10" s="20"/>
      <c r="G10" s="22"/>
      <c r="H10" s="20"/>
      <c r="I10" s="20"/>
    </row>
    <row r="11" spans="1:22" x14ac:dyDescent="0.3">
      <c r="A11" s="19"/>
      <c r="B11" s="19"/>
      <c r="C11" s="20"/>
      <c r="D11" s="20"/>
      <c r="E11" s="20"/>
      <c r="F11" s="20"/>
      <c r="G11" s="22"/>
      <c r="H11" s="20"/>
      <c r="I11" s="2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MarketData</vt:lpstr>
      <vt:lpstr>Input</vt:lpstr>
      <vt:lpstr>Output</vt:lpstr>
      <vt:lpstr>Returns</vt:lpstr>
      <vt:lpstr>YieldCurve</vt:lpstr>
      <vt:lpstr>RiskFreeRate</vt:lpstr>
      <vt:lpstr>Report</vt:lpstr>
      <vt:lpstr>FilePath</vt:lpstr>
      <vt:lpstr>TreasuryCurve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Lijin Chen</cp:lastModifiedBy>
  <dcterms:created xsi:type="dcterms:W3CDTF">2006-09-16T00:00:00Z</dcterms:created>
  <dcterms:modified xsi:type="dcterms:W3CDTF">2021-10-22T03:01:53Z</dcterms:modified>
</cp:coreProperties>
</file>